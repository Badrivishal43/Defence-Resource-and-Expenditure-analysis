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data" ContentType="application/vnd.openxmlformats-officedocument.model+data"/>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defaultThemeVersion="166925"/>
  <mc:AlternateContent xmlns:mc="http://schemas.openxmlformats.org/markup-compatibility/2006">
    <mc:Choice Requires="x15">
      <x15ac:absPath xmlns:x15ac="http://schemas.microsoft.com/office/spreadsheetml/2010/11/ac" url="C:\Users\HP\Desktop\"/>
    </mc:Choice>
  </mc:AlternateContent>
  <xr:revisionPtr revIDLastSave="0" documentId="13_ncr:1_{A7DF40F9-7E70-4DE2-B42A-D458073E3724}" xr6:coauthVersionLast="36" xr6:coauthVersionMax="36" xr10:uidLastSave="{00000000-0000-0000-0000-000000000000}"/>
  <bookViews>
    <workbookView xWindow="0" yWindow="0" windowWidth="19200" windowHeight="8840" xr2:uid="{5B158F61-FFE1-42BC-90C1-B1916AA6C29F}"/>
  </bookViews>
  <sheets>
    <sheet name="Dashboard" sheetId="12" r:id="rId1"/>
    <sheet name="Dim_Country" sheetId="4" r:id="rId2"/>
    <sheet name="Dim_Year" sheetId="5" r:id="rId3"/>
    <sheet name="Fact_Military_Expenditure" sheetId="2" r:id="rId4"/>
    <sheet name="Top 10 Military Spenders" sheetId="6" r:id="rId5"/>
    <sheet name="Military Expenditure Trend" sheetId="7" r:id="rId6"/>
    <sheet name="Regional Military Expenditure" sheetId="11" r:id="rId7"/>
    <sheet name="Year on Year Growth Calculation" sheetId="13" r:id="rId8"/>
  </sheets>
  <definedNames>
    <definedName name="_xlcn.WorksheetConnection_Defence_Analytics_Workbook.xlsxDim_Country1" hidden="1">Dim_Country[]</definedName>
    <definedName name="_xlcn.WorksheetConnection_Defence_Analytics_Workbook.xlsxDim_Year1" hidden="1">Dim_Year[]</definedName>
    <definedName name="_xlcn.WorksheetConnection_Defence_Analytics_Workbook.xlsxFact_Military_Expenditure1" hidden="1">Fact_Military_Expenditure[]</definedName>
    <definedName name="ExternalData_1" localSheetId="3" hidden="1">Fact_Military_Expenditure!$A$1:$C$8762</definedName>
    <definedName name="ExternalData_2" localSheetId="1" hidden="1">Dim_Country!$A$1:$C$173</definedName>
    <definedName name="ExternalData_2" localSheetId="2" hidden="1">Dim_Year!$A$1:$B$78</definedName>
    <definedName name="Slicer_Year">#N/A</definedName>
  </definedNames>
  <calcPr calcId="191029"/>
  <pivotCaches>
    <pivotCache cacheId="243" r:id="rId9"/>
    <pivotCache cacheId="327" r:id="rId10"/>
    <pivotCache cacheId="330" r:id="rId11"/>
    <pivotCache cacheId="333" r:id="rId12"/>
  </pivotCaches>
  <extLst>
    <ext xmlns:x14="http://schemas.microsoft.com/office/spreadsheetml/2009/9/main" uri="{876F7934-8845-4945-9796-88D515C7AA90}">
      <x14:pivotCaches>
        <pivotCache cacheId="224" r:id="rId13"/>
      </x14:pivotCaches>
    </ext>
    <ext xmlns:x14="http://schemas.microsoft.com/office/spreadsheetml/2009/9/main" uri="{BBE1A952-AA13-448e-AADC-164F8A28A991}">
      <x14:slicerCaches>
        <x14:slicerCache r:id="rId14"/>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Fact_Military_Expenditure" name="Fact_Military_Expenditure" connection="WorksheetConnection_Defence_Analytics_Workbook.xlsx!Fact_Military_Expenditure"/>
          <x15:modelTable id="Dim_Country" name="Dim_Country" connection="WorksheetConnection_Defence_Analytics_Workbook.xlsx!Dim_Country"/>
          <x15:modelTable id="Dim_Year" name="Dim_Year" connection="WorksheetConnection_Defence_Analytics_Workbook.xlsx!Dim_Year"/>
        </x15:modelTables>
        <x15:modelRelationships>
          <x15:modelRelationship fromTable="Fact_Military_Expenditure" fromColumn="Country" toTable="Dim_Country" toColumn="Country"/>
          <x15:modelRelationship fromTable="Fact_Military_Expenditure" fromColumn="Year" toTable="Dim_Year" toColumn="Year"/>
        </x15:modelRelationships>
      </x15:dataModel>
    </ext>
  </extLst>
</workbook>
</file>

<file path=xl/calcChain.xml><?xml version="1.0" encoding="utf-8"?>
<calcChain xmlns="http://schemas.openxmlformats.org/spreadsheetml/2006/main">
  <c r="H5" i="12" l="1"/>
  <c r="B5" i="12"/>
  <c r="K5" i="12"/>
  <c r="E5" i="1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EB25CDC-0A50-40CC-979F-2E9E3FC1628D}" keepAlive="1" name="Query - Dim_Country" description="Connection to the 'Dim_Country' query in the workbook." type="5" refreshedVersion="6" background="1" saveData="1">
    <dbPr connection="Provider=Microsoft.Mashup.OleDb.1;Data Source=$Workbook$;Location=Dim_Country;Extended Properties=&quot;&quot;" command="SELECT * FROM [Dim_Country]"/>
  </connection>
  <connection id="2" xr16:uid="{5FB746D7-4A44-455E-B347-A620F6875881}" keepAlive="1" name="Query - Dim_Year" description="Connection to the 'Dim_Year' query in the workbook." type="5" refreshedVersion="6" background="1" saveData="1">
    <dbPr connection="Provider=Microsoft.Mashup.OleDb.1;Data Source=$Workbook$;Location=Dim_Year;Extended Properties=&quot;&quot;" command="SELECT * FROM [Dim_Year]"/>
  </connection>
  <connection id="3" xr16:uid="{9D88D2F4-A12D-4423-8A5F-C24C1E6B8344}" keepAlive="1" name="Query - Fact_Military_Expenditure" description="Connection to the 'Fact_Military_Expenditure' query in the workbook." type="5" refreshedVersion="6" background="1" saveData="1">
    <dbPr connection="Provider=Microsoft.Mashup.OleDb.1;Data Source=$Workbook$;Location=Fact_Military_Expenditure;Extended Properties=&quot;&quot;" command="SELECT * FROM [Fact_Military_Expenditure]"/>
  </connection>
  <connection id="4" xr16:uid="{77C11CBE-9C16-4EDA-B6DA-AE48A192CDE9}"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5" xr16:uid="{C0FB691A-D952-433C-BAAE-B242C9C7CF24}" name="WorksheetConnection_Defence_Analytics_Workbook.xlsx!Dim_Country" type="102" refreshedVersion="6" minRefreshableVersion="5">
    <extLst>
      <ext xmlns:x15="http://schemas.microsoft.com/office/spreadsheetml/2010/11/main" uri="{DE250136-89BD-433C-8126-D09CA5730AF9}">
        <x15:connection id="Dim_Country">
          <x15:rangePr sourceName="_xlcn.WorksheetConnection_Defence_Analytics_Workbook.xlsxDim_Country1"/>
        </x15:connection>
      </ext>
    </extLst>
  </connection>
  <connection id="6" xr16:uid="{F6779BC7-9054-4C35-8DCA-088A8977914E}" name="WorksheetConnection_Defence_Analytics_Workbook.xlsx!Dim_Year" type="102" refreshedVersion="6" minRefreshableVersion="5">
    <extLst>
      <ext xmlns:x15="http://schemas.microsoft.com/office/spreadsheetml/2010/11/main" uri="{DE250136-89BD-433C-8126-D09CA5730AF9}">
        <x15:connection id="Dim_Year">
          <x15:rangePr sourceName="_xlcn.WorksheetConnection_Defence_Analytics_Workbook.xlsxDim_Year1"/>
        </x15:connection>
      </ext>
    </extLst>
  </connection>
  <connection id="7" xr16:uid="{8B167541-701C-478E-9A70-2634C0EE74C6}" name="WorksheetConnection_Defence_Analytics_Workbook.xlsx!Fact_Military_Expenditure" type="102" refreshedVersion="6" minRefreshableVersion="5">
    <extLst>
      <ext xmlns:x15="http://schemas.microsoft.com/office/spreadsheetml/2010/11/main" uri="{DE250136-89BD-433C-8126-D09CA5730AF9}">
        <x15:connection id="Fact_Military_Expenditure">
          <x15:rangePr sourceName="_xlcn.WorksheetConnection_Defence_Analytics_Workbook.xlsxFact_Military_Expenditure1"/>
        </x15:connection>
      </ext>
    </extLst>
  </connection>
</connections>
</file>

<file path=xl/sharedStrings.xml><?xml version="1.0" encoding="utf-8"?>
<sst xmlns="http://schemas.openxmlformats.org/spreadsheetml/2006/main" count="9150" uniqueCount="195">
  <si>
    <t>Country</t>
  </si>
  <si>
    <t>Year</t>
  </si>
  <si>
    <t>Military Expenditure</t>
  </si>
  <si>
    <t>Algeria</t>
  </si>
  <si>
    <t>Libya</t>
  </si>
  <si>
    <t>Morocco</t>
  </si>
  <si>
    <t>Tunisia</t>
  </si>
  <si>
    <t>Angola</t>
  </si>
  <si>
    <t>Benin</t>
  </si>
  <si>
    <t>Botswana</t>
  </si>
  <si>
    <t>Burkina Faso</t>
  </si>
  <si>
    <t>Burundi</t>
  </si>
  <si>
    <t>Cameroon</t>
  </si>
  <si>
    <t>Cape Verde</t>
  </si>
  <si>
    <t>Central African Republic</t>
  </si>
  <si>
    <t>Chad</t>
  </si>
  <si>
    <t>Congo, DR</t>
  </si>
  <si>
    <t>Congo, Republic</t>
  </si>
  <si>
    <t>Cote d'Ivoire</t>
  </si>
  <si>
    <t>Djibouti</t>
  </si>
  <si>
    <t>Equatorial Guinea</t>
  </si>
  <si>
    <t>Eritrea</t>
  </si>
  <si>
    <t>Ethiopia</t>
  </si>
  <si>
    <t>Gabon</t>
  </si>
  <si>
    <t>Gambia, The</t>
  </si>
  <si>
    <t>Ghana</t>
  </si>
  <si>
    <t>Guinea</t>
  </si>
  <si>
    <t>Guinea-Bissau</t>
  </si>
  <si>
    <t>Kenya</t>
  </si>
  <si>
    <t>Lesotho</t>
  </si>
  <si>
    <t>Liberia</t>
  </si>
  <si>
    <t>Madagascar</t>
  </si>
  <si>
    <t>Malawi</t>
  </si>
  <si>
    <t>Mali</t>
  </si>
  <si>
    <t>Mauritania</t>
  </si>
  <si>
    <t>Mauritius</t>
  </si>
  <si>
    <t>Mozambique</t>
  </si>
  <si>
    <t>Namibia</t>
  </si>
  <si>
    <t>Niger</t>
  </si>
  <si>
    <t>Nigeria</t>
  </si>
  <si>
    <t>Rwanda</t>
  </si>
  <si>
    <t>Senegal</t>
  </si>
  <si>
    <t>Seychelles</t>
  </si>
  <si>
    <t>Sierra Leone</t>
  </si>
  <si>
    <t>Somalia</t>
  </si>
  <si>
    <t>South Africa</t>
  </si>
  <si>
    <t>South Sudan</t>
  </si>
  <si>
    <t>Sudan</t>
  </si>
  <si>
    <t>Eswatini</t>
  </si>
  <si>
    <t>Tanzania</t>
  </si>
  <si>
    <t>Togo</t>
  </si>
  <si>
    <t>Uganda</t>
  </si>
  <si>
    <t>Zambia</t>
  </si>
  <si>
    <t>Zimbabwe</t>
  </si>
  <si>
    <t>Belize</t>
  </si>
  <si>
    <t>Costa Rica</t>
  </si>
  <si>
    <t>Cuba</t>
  </si>
  <si>
    <t>Dominican Republic</t>
  </si>
  <si>
    <t>El Salvador</t>
  </si>
  <si>
    <t>Guatemala</t>
  </si>
  <si>
    <t>Haiti</t>
  </si>
  <si>
    <t>Honduras</t>
  </si>
  <si>
    <t>Jamaica</t>
  </si>
  <si>
    <t>Mexico</t>
  </si>
  <si>
    <t>Nicaragua</t>
  </si>
  <si>
    <t>Panama</t>
  </si>
  <si>
    <t>Trinidad and Tobago</t>
  </si>
  <si>
    <t>Canada</t>
  </si>
  <si>
    <t>United States of America</t>
  </si>
  <si>
    <t>Argentina</t>
  </si>
  <si>
    <t>Bolivia</t>
  </si>
  <si>
    <t>Brazil</t>
  </si>
  <si>
    <t>Chile</t>
  </si>
  <si>
    <t>Colombia</t>
  </si>
  <si>
    <t>Ecuador</t>
  </si>
  <si>
    <t>Guyana</t>
  </si>
  <si>
    <t>Paraguay</t>
  </si>
  <si>
    <t>Peru</t>
  </si>
  <si>
    <t>Uruguay</t>
  </si>
  <si>
    <t>Venezuela</t>
  </si>
  <si>
    <t>Australia</t>
  </si>
  <si>
    <t>Fiji</t>
  </si>
  <si>
    <t>New Zealand</t>
  </si>
  <si>
    <t>Papua New Guinea</t>
  </si>
  <si>
    <t>Afghanistan</t>
  </si>
  <si>
    <t>Bangladesh</t>
  </si>
  <si>
    <t>India</t>
  </si>
  <si>
    <t>Nepal</t>
  </si>
  <si>
    <t>Pakistan</t>
  </si>
  <si>
    <t>Sri Lanka</t>
  </si>
  <si>
    <t>China</t>
  </si>
  <si>
    <t>Japan</t>
  </si>
  <si>
    <t>Korea, North</t>
  </si>
  <si>
    <t>Korea, South</t>
  </si>
  <si>
    <t>Mongolia</t>
  </si>
  <si>
    <t>Taiwan</t>
  </si>
  <si>
    <t>Brunei</t>
  </si>
  <si>
    <t>Cambodia</t>
  </si>
  <si>
    <t>Indonesia</t>
  </si>
  <si>
    <t>Laos</t>
  </si>
  <si>
    <t>Malaysia</t>
  </si>
  <si>
    <t>Myanmar</t>
  </si>
  <si>
    <t>Philippines</t>
  </si>
  <si>
    <t>Singapore</t>
  </si>
  <si>
    <t>Thailand</t>
  </si>
  <si>
    <t>Timor Leste</t>
  </si>
  <si>
    <t>Viet Nam</t>
  </si>
  <si>
    <t>Kazakhstan</t>
  </si>
  <si>
    <t>Kyrgyz Republic</t>
  </si>
  <si>
    <t>Tajikistan</t>
  </si>
  <si>
    <t>Turkmenistan</t>
  </si>
  <si>
    <t>Uzbekistan</t>
  </si>
  <si>
    <t>Albania</t>
  </si>
  <si>
    <t>Bosnia and Herzegovina</t>
  </si>
  <si>
    <t>Bulgaria</t>
  </si>
  <si>
    <t>Croatia</t>
  </si>
  <si>
    <t>Czechia</t>
  </si>
  <si>
    <t>Czechoslovakia</t>
  </si>
  <si>
    <t>Estonia</t>
  </si>
  <si>
    <t>Hungary</t>
  </si>
  <si>
    <t>Kosovo</t>
  </si>
  <si>
    <t>Latvia</t>
  </si>
  <si>
    <t>Lithuania</t>
  </si>
  <si>
    <t>North Macedonia</t>
  </si>
  <si>
    <t>Montenegro</t>
  </si>
  <si>
    <t>Poland</t>
  </si>
  <si>
    <t>Romania</t>
  </si>
  <si>
    <t>Serbia</t>
  </si>
  <si>
    <t>Slovakia</t>
  </si>
  <si>
    <t>Slovenia</t>
  </si>
  <si>
    <t>Yugoslavia</t>
  </si>
  <si>
    <t>Armenia</t>
  </si>
  <si>
    <t>Azerbaijan</t>
  </si>
  <si>
    <t>Belarus</t>
  </si>
  <si>
    <t>Georgia</t>
  </si>
  <si>
    <t>Moldova</t>
  </si>
  <si>
    <t>Russia</t>
  </si>
  <si>
    <t>Ukraine</t>
  </si>
  <si>
    <t>USSR</t>
  </si>
  <si>
    <t>Austria</t>
  </si>
  <si>
    <t>Belgium</t>
  </si>
  <si>
    <t>Cyprus</t>
  </si>
  <si>
    <t>Denmark</t>
  </si>
  <si>
    <t>Finland</t>
  </si>
  <si>
    <t>France</t>
  </si>
  <si>
    <t>Germany</t>
  </si>
  <si>
    <t>Greece</t>
  </si>
  <si>
    <t>Iceland</t>
  </si>
  <si>
    <t>Ireland</t>
  </si>
  <si>
    <t>Italy</t>
  </si>
  <si>
    <t>Luxembourg</t>
  </si>
  <si>
    <t>Malta</t>
  </si>
  <si>
    <t>Netherlands</t>
  </si>
  <si>
    <t>Norway</t>
  </si>
  <si>
    <t>Portugal</t>
  </si>
  <si>
    <t>Spain</t>
  </si>
  <si>
    <t>Sweden</t>
  </si>
  <si>
    <t>Switzerland</t>
  </si>
  <si>
    <t>United Kingdom</t>
  </si>
  <si>
    <t>European Union</t>
  </si>
  <si>
    <t>Bahrain</t>
  </si>
  <si>
    <t>Egypt</t>
  </si>
  <si>
    <t>Iran</t>
  </si>
  <si>
    <t>Iraq</t>
  </si>
  <si>
    <t>Israel</t>
  </si>
  <si>
    <t>Jordan</t>
  </si>
  <si>
    <t>Kuwait</t>
  </si>
  <si>
    <t>Lebanon</t>
  </si>
  <si>
    <t>Oman</t>
  </si>
  <si>
    <t>Qatar</t>
  </si>
  <si>
    <t>Saudi Arabia</t>
  </si>
  <si>
    <t>Syria</t>
  </si>
  <si>
    <t>Türkiye</t>
  </si>
  <si>
    <t>United Arab Emirates</t>
  </si>
  <si>
    <t>Yemen</t>
  </si>
  <si>
    <t>CountryKey</t>
  </si>
  <si>
    <t>Index</t>
  </si>
  <si>
    <t>Row Labels</t>
  </si>
  <si>
    <t>Grand Total</t>
  </si>
  <si>
    <t>Sum of Military Expenditure</t>
  </si>
  <si>
    <t>Region</t>
  </si>
  <si>
    <t>Africa</t>
  </si>
  <si>
    <t>Other</t>
  </si>
  <si>
    <t>North America</t>
  </si>
  <si>
    <t>South America</t>
  </si>
  <si>
    <t>Oceania</t>
  </si>
  <si>
    <t>Asia</t>
  </si>
  <si>
    <t>Europe</t>
  </si>
  <si>
    <t>GLOBAL MILITARY EXPENDITURE ANALYTICS</t>
  </si>
  <si>
    <t>Total Military Expenditure</t>
  </si>
  <si>
    <t>Years Covered</t>
  </si>
  <si>
    <t>Top Spending Country</t>
  </si>
  <si>
    <t>Highest Spending Region</t>
  </si>
  <si>
    <t>Year on Year Growth %</t>
  </si>
  <si>
    <t>YoY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</si>
</sst>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20"/>
      <color theme="1"/>
      <name val="Calibri"/>
      <family val="2"/>
      <scheme val="minor"/>
    </font>
    <font>
      <b/>
      <sz val="13"/>
      <color theme="1"/>
      <name val="Calibri"/>
      <family val="2"/>
      <scheme val="minor"/>
    </font>
    <font>
      <b/>
      <sz val="16"/>
      <color theme="1"/>
      <name val="Calibri"/>
      <family val="2"/>
      <scheme val="minor"/>
    </font>
  </fonts>
  <fills count="3">
    <fill>
      <patternFill patternType="none"/>
    </fill>
    <fill>
      <patternFill patternType="gray125"/>
    </fill>
    <fill>
      <patternFill patternType="solid">
        <fgColor theme="7" tint="0.79998168889431442"/>
        <bgColor indexed="64"/>
      </patternFill>
    </fill>
  </fills>
  <borders count="9">
    <border>
      <left/>
      <right/>
      <top/>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s>
  <cellStyleXfs count="1">
    <xf numFmtId="0" fontId="0" fillId="0" borderId="0"/>
  </cellStyleXfs>
  <cellXfs count="34">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center"/>
    </xf>
    <xf numFmtId="0" fontId="1" fillId="0" borderId="0" xfId="0" applyFont="1" applyAlignment="1">
      <alignment horizontal="center"/>
    </xf>
    <xf numFmtId="0" fontId="1" fillId="2"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3" xfId="0" applyFont="1" applyFill="1" applyBorder="1" applyAlignment="1">
      <alignment horizontal="center" vertical="center"/>
    </xf>
    <xf numFmtId="0" fontId="1" fillId="2" borderId="4" xfId="0" applyFont="1" applyFill="1" applyBorder="1" applyAlignment="1">
      <alignment horizontal="center" vertical="center"/>
    </xf>
    <xf numFmtId="0" fontId="1" fillId="2" borderId="0" xfId="0" applyFont="1" applyFill="1" applyBorder="1" applyAlignment="1">
      <alignment horizontal="center" vertical="center"/>
    </xf>
    <xf numFmtId="0" fontId="1" fillId="2" borderId="5" xfId="0" applyFont="1" applyFill="1" applyBorder="1" applyAlignment="1">
      <alignment horizontal="center" vertical="center"/>
    </xf>
    <xf numFmtId="0" fontId="1" fillId="2" borderId="6" xfId="0" applyFont="1" applyFill="1" applyBorder="1" applyAlignment="1">
      <alignment horizontal="center" vertical="center"/>
    </xf>
    <xf numFmtId="0" fontId="1" fillId="2" borderId="7" xfId="0" applyFont="1" applyFill="1" applyBorder="1" applyAlignment="1">
      <alignment horizontal="center" vertical="center"/>
    </xf>
    <xf numFmtId="0" fontId="1" fillId="2" borderId="8" xfId="0" applyFont="1" applyFill="1" applyBorder="1"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0" xfId="0" applyFont="1" applyFill="1" applyBorder="1" applyAlignment="1">
      <alignment horizontal="center" vertical="center"/>
    </xf>
    <xf numFmtId="0" fontId="2" fillId="2" borderId="5" xfId="0" applyFont="1" applyFill="1" applyBorder="1" applyAlignment="1">
      <alignment horizontal="center" vertical="center"/>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8" xfId="0" applyFont="1" applyFill="1" applyBorder="1" applyAlignment="1">
      <alignment horizontal="center" vertical="center"/>
    </xf>
    <xf numFmtId="0" fontId="3" fillId="2" borderId="1" xfId="0" applyFont="1" applyFill="1" applyBorder="1" applyAlignment="1">
      <alignment horizontal="center" vertical="center"/>
    </xf>
    <xf numFmtId="0" fontId="3" fillId="2" borderId="2" xfId="0" applyFont="1" applyFill="1" applyBorder="1" applyAlignment="1">
      <alignment horizontal="center" vertical="center"/>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0" xfId="0" applyFont="1" applyFill="1" applyBorder="1" applyAlignment="1">
      <alignment horizontal="center" vertical="center"/>
    </xf>
    <xf numFmtId="0" fontId="3" fillId="2" borderId="5" xfId="0" applyFont="1" applyFill="1" applyBorder="1" applyAlignment="1">
      <alignment horizontal="center" vertical="center"/>
    </xf>
    <xf numFmtId="0" fontId="3" fillId="2" borderId="6" xfId="0" applyFont="1" applyFill="1" applyBorder="1" applyAlignment="1">
      <alignment horizontal="center" vertical="center"/>
    </xf>
    <xf numFmtId="0" fontId="3" fillId="2" borderId="7" xfId="0" applyFont="1" applyFill="1" applyBorder="1" applyAlignment="1">
      <alignment horizontal="center" vertical="center"/>
    </xf>
    <xf numFmtId="0" fontId="3" fillId="2" borderId="8" xfId="0" applyFont="1" applyFill="1" applyBorder="1" applyAlignment="1">
      <alignment horizontal="center" vertical="center"/>
    </xf>
    <xf numFmtId="10"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2.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[Defence_Analytics_Workbook.xlsx]Top 10 Military Spenders!PivotTable2</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Top 10 Countries by Military Expenditure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Military Spenders'!$B$3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Military Spenders'!$A$4:$A$14</c:f>
              <c:strCache>
                <c:ptCount val="10"/>
                <c:pt idx="0">
                  <c:v>United States of America</c:v>
                </c:pt>
                <c:pt idx="1">
                  <c:v>China</c:v>
                </c:pt>
                <c:pt idx="2">
                  <c:v>United Kingdom</c:v>
                </c:pt>
                <c:pt idx="3">
                  <c:v>France</c:v>
                </c:pt>
                <c:pt idx="4">
                  <c:v>Germany</c:v>
                </c:pt>
                <c:pt idx="5">
                  <c:v>Japan</c:v>
                </c:pt>
                <c:pt idx="6">
                  <c:v>Russia</c:v>
                </c:pt>
                <c:pt idx="7">
                  <c:v>Saudi Arabia</c:v>
                </c:pt>
                <c:pt idx="8">
                  <c:v>India</c:v>
                </c:pt>
                <c:pt idx="9">
                  <c:v>Italy</c:v>
                </c:pt>
              </c:strCache>
            </c:strRef>
          </c:cat>
          <c:val>
            <c:numRef>
              <c:f>'Top 10 Military Spenders'!$B$4:$B$14</c:f>
              <c:numCache>
                <c:formatCode>General</c:formatCode>
                <c:ptCount val="10"/>
                <c:pt idx="0">
                  <c:v>24771447.192398503</c:v>
                </c:pt>
                <c:pt idx="1">
                  <c:v>4207487.9537360948</c:v>
                </c:pt>
                <c:pt idx="2">
                  <c:v>2553523.8698949721</c:v>
                </c:pt>
                <c:pt idx="3">
                  <c:v>2049338.8822624106</c:v>
                </c:pt>
                <c:pt idx="4">
                  <c:v>2011290.9735431075</c:v>
                </c:pt>
                <c:pt idx="5">
                  <c:v>1879819.7335449487</c:v>
                </c:pt>
                <c:pt idx="6">
                  <c:v>1761845.6917850687</c:v>
                </c:pt>
                <c:pt idx="7">
                  <c:v>1754380.5015239776</c:v>
                </c:pt>
                <c:pt idx="8">
                  <c:v>1498226.2518580921</c:v>
                </c:pt>
                <c:pt idx="9">
                  <c:v>1155748.7162542182</c:v>
                </c:pt>
              </c:numCache>
            </c:numRef>
          </c:val>
          <c:extLst>
            <c:ext xmlns:c16="http://schemas.microsoft.com/office/drawing/2014/chart" uri="{C3380CC4-5D6E-409C-BE32-E72D297353CC}">
              <c16:uniqueId val="{00000000-1F1F-46F4-A1E4-64EBF1271467}"/>
            </c:ext>
          </c:extLst>
        </c:ser>
        <c:dLbls>
          <c:dLblPos val="outEnd"/>
          <c:showLegendKey val="0"/>
          <c:showVal val="1"/>
          <c:showCatName val="0"/>
          <c:showSerName val="0"/>
          <c:showPercent val="0"/>
          <c:showBubbleSize val="0"/>
        </c:dLbls>
        <c:gapWidth val="182"/>
        <c:axId val="179398383"/>
        <c:axId val="686437439"/>
      </c:barChart>
      <c:catAx>
        <c:axId val="1793983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437439"/>
        <c:crosses val="autoZero"/>
        <c:auto val="1"/>
        <c:lblAlgn val="ctr"/>
        <c:lblOffset val="100"/>
        <c:noMultiLvlLbl val="0"/>
      </c:catAx>
      <c:valAx>
        <c:axId val="686437439"/>
        <c:scaling>
          <c:orientation val="minMax"/>
        </c:scaling>
        <c:delete val="0"/>
        <c:axPos val="t"/>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8383"/>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[Defence_Analytics_Workbook.xlsx]Regional Military Expenditure!PivotTable10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Military Expenditure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barChart>
        <c:barDir val="bar"/>
        <c:grouping val="clustered"/>
        <c:varyColors val="0"/>
        <c:ser>
          <c:idx val="0"/>
          <c:order val="0"/>
          <c:tx>
            <c:strRef>
              <c:f>'Regional Military Expenditure'!$B$1</c:f>
              <c:strCache>
                <c:ptCount val="1"/>
                <c:pt idx="0">
                  <c:v>Total</c:v>
                </c:pt>
              </c:strCache>
            </c:strRef>
          </c:tx>
          <c:spPr>
            <a:solidFill>
              <a:schemeClr val="accent1"/>
            </a:solidFill>
            <a:ln>
              <a:noFill/>
            </a:ln>
            <a:effectLst/>
          </c:spPr>
          <c:invertIfNegative val="0"/>
          <c:cat>
            <c:strRef>
              <c:f>'Regional Military Expenditure'!$A$2:$A$9</c:f>
              <c:strCache>
                <c:ptCount val="7"/>
                <c:pt idx="0">
                  <c:v>North America</c:v>
                </c:pt>
                <c:pt idx="1">
                  <c:v>Europe</c:v>
                </c:pt>
                <c:pt idx="2">
                  <c:v>Asia</c:v>
                </c:pt>
                <c:pt idx="3">
                  <c:v>South America</c:v>
                </c:pt>
                <c:pt idx="4">
                  <c:v>Other</c:v>
                </c:pt>
                <c:pt idx="5">
                  <c:v>Africa</c:v>
                </c:pt>
                <c:pt idx="6">
                  <c:v>Oceania</c:v>
                </c:pt>
              </c:strCache>
            </c:strRef>
          </c:cat>
          <c:val>
            <c:numRef>
              <c:f>'Regional Military Expenditure'!$B$2:$B$9</c:f>
              <c:numCache>
                <c:formatCode>General</c:formatCode>
                <c:ptCount val="7"/>
                <c:pt idx="0">
                  <c:v>25762854.72317934</c:v>
                </c:pt>
                <c:pt idx="1">
                  <c:v>15310279.19714503</c:v>
                </c:pt>
                <c:pt idx="2">
                  <c:v>13415086.560725683</c:v>
                </c:pt>
                <c:pt idx="3">
                  <c:v>1618722.6400420661</c:v>
                </c:pt>
                <c:pt idx="4">
                  <c:v>1442669.472869009</c:v>
                </c:pt>
                <c:pt idx="5">
                  <c:v>1059582.2636495773</c:v>
                </c:pt>
                <c:pt idx="6">
                  <c:v>810054.22816809767</c:v>
                </c:pt>
              </c:numCache>
            </c:numRef>
          </c:val>
          <c:extLst>
            <c:ext xmlns:c16="http://schemas.microsoft.com/office/drawing/2014/chart" uri="{C3380CC4-5D6E-409C-BE32-E72D297353CC}">
              <c16:uniqueId val="{00000000-38A5-48FE-8357-CA8A34C46690}"/>
            </c:ext>
          </c:extLst>
        </c:ser>
        <c:dLbls>
          <c:showLegendKey val="0"/>
          <c:showVal val="0"/>
          <c:showCatName val="0"/>
          <c:showSerName val="0"/>
          <c:showPercent val="0"/>
          <c:showBubbleSize val="0"/>
        </c:dLbls>
        <c:gapWidth val="182"/>
        <c:axId val="1275462575"/>
        <c:axId val="269672687"/>
      </c:barChart>
      <c:catAx>
        <c:axId val="12754625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672687"/>
        <c:crosses val="autoZero"/>
        <c:auto val="1"/>
        <c:lblAlgn val="ctr"/>
        <c:lblOffset val="100"/>
        <c:noMultiLvlLbl val="0"/>
      </c:catAx>
      <c:valAx>
        <c:axId val="269672687"/>
        <c:scaling>
          <c:orientation val="minMax"/>
        </c:scaling>
        <c:delete val="0"/>
        <c:axPos val="t"/>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46257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[Defence_Analytics_Workbook.xlsx]Military Expenditure Trend!PivotTable4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solidFill>
                  <a:schemeClr val="tx1"/>
                </a:solidFill>
              </a:rPr>
              <a:t>Global Military Expenditure Trend</a:t>
            </a:r>
            <a:endParaRPr lang="en-IN" b="1">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ln w="28575" cap="rnd">
            <a:solidFill>
              <a:schemeClr val="accent1"/>
            </a:solidFill>
            <a:round/>
          </a:ln>
          <a:effectLst/>
        </c:spPr>
        <c:marker>
          <c:symbol val="none"/>
        </c:marker>
      </c:pivotFmt>
    </c:pivotFmts>
    <c:plotArea>
      <c:layout/>
      <c:lineChart>
        <c:grouping val="standard"/>
        <c:varyColors val="0"/>
        <c:ser>
          <c:idx val="0"/>
          <c:order val="0"/>
          <c:tx>
            <c:strRef>
              <c:f>'Military Expenditure Trend'!$B$1</c:f>
              <c:strCache>
                <c:ptCount val="1"/>
                <c:pt idx="0">
                  <c:v>Total</c:v>
                </c:pt>
              </c:strCache>
            </c:strRef>
          </c:tx>
          <c:spPr>
            <a:ln w="28575" cap="rnd">
              <a:solidFill>
                <a:schemeClr val="accent1"/>
              </a:solidFill>
              <a:round/>
            </a:ln>
            <a:effectLst/>
          </c:spPr>
          <c:marker>
            <c:symbol val="none"/>
          </c:marker>
          <c:cat>
            <c:strRef>
              <c:f>'Military Expenditure Trend'!$A$2:$A$79</c:f>
              <c:strCache>
                <c:ptCount val="77"/>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strCache>
            </c:strRef>
          </c:cat>
          <c:val>
            <c:numRef>
              <c:f>'Military Expenditure Trend'!$B$2:$B$79</c:f>
              <c:numCache>
                <c:formatCode>General</c:formatCode>
                <c:ptCount val="77"/>
                <c:pt idx="0">
                  <c:v>17086.075208099952</c:v>
                </c:pt>
                <c:pt idx="1">
                  <c:v>21277.736153188387</c:v>
                </c:pt>
                <c:pt idx="2">
                  <c:v>44830.6010415739</c:v>
                </c:pt>
                <c:pt idx="3">
                  <c:v>64510.963176740857</c:v>
                </c:pt>
                <c:pt idx="4">
                  <c:v>69941.797150749248</c:v>
                </c:pt>
                <c:pt idx="5">
                  <c:v>62517.427739383544</c:v>
                </c:pt>
                <c:pt idx="6">
                  <c:v>60644.101559101808</c:v>
                </c:pt>
                <c:pt idx="7">
                  <c:v>63897.758643037378</c:v>
                </c:pt>
                <c:pt idx="8">
                  <c:v>68987.68487510283</c:v>
                </c:pt>
                <c:pt idx="9">
                  <c:v>69763.963947004289</c:v>
                </c:pt>
                <c:pt idx="10">
                  <c:v>71979.831151112783</c:v>
                </c:pt>
                <c:pt idx="11">
                  <c:v>73005.784746845355</c:v>
                </c:pt>
                <c:pt idx="12">
                  <c:v>76909.99972067248</c:v>
                </c:pt>
                <c:pt idx="13">
                  <c:v>85660.550909324913</c:v>
                </c:pt>
                <c:pt idx="14">
                  <c:v>88752.450032758119</c:v>
                </c:pt>
                <c:pt idx="15">
                  <c:v>89860.102984714147</c:v>
                </c:pt>
                <c:pt idx="16">
                  <c:v>93662.451587648146</c:v>
                </c:pt>
                <c:pt idx="17">
                  <c:v>107748.77240771716</c:v>
                </c:pt>
                <c:pt idx="18">
                  <c:v>122453.25349304518</c:v>
                </c:pt>
                <c:pt idx="19">
                  <c:v>130329.40960685423</c:v>
                </c:pt>
                <c:pt idx="20">
                  <c:v>134667.1074298973</c:v>
                </c:pt>
                <c:pt idx="21">
                  <c:v>138076.90773256062</c:v>
                </c:pt>
                <c:pt idx="22">
                  <c:v>139334.43338479529</c:v>
                </c:pt>
                <c:pt idx="23">
                  <c:v>151389.08250481053</c:v>
                </c:pt>
                <c:pt idx="24">
                  <c:v>166556.16659292387</c:v>
                </c:pt>
                <c:pt idx="25">
                  <c:v>191972.26095374458</c:v>
                </c:pt>
                <c:pt idx="26">
                  <c:v>213040.46387412693</c:v>
                </c:pt>
                <c:pt idx="27">
                  <c:v>224378.07540646283</c:v>
                </c:pt>
                <c:pt idx="28">
                  <c:v>262042.85385006538</c:v>
                </c:pt>
                <c:pt idx="29">
                  <c:v>288640.12070643716</c:v>
                </c:pt>
                <c:pt idx="30">
                  <c:v>318982.03466425219</c:v>
                </c:pt>
                <c:pt idx="31">
                  <c:v>365992.62179352593</c:v>
                </c:pt>
                <c:pt idx="32">
                  <c:v>403765.49201033538</c:v>
                </c:pt>
                <c:pt idx="33">
                  <c:v>447929.12311984424</c:v>
                </c:pt>
                <c:pt idx="34">
                  <c:v>441718.51310733217</c:v>
                </c:pt>
                <c:pt idx="35">
                  <c:v>459637.02432913746</c:v>
                </c:pt>
                <c:pt idx="36">
                  <c:v>486465.82952744124</c:v>
                </c:pt>
                <c:pt idx="37">
                  <c:v>531398.98497776384</c:v>
                </c:pt>
                <c:pt idx="38">
                  <c:v>824865.34028266033</c:v>
                </c:pt>
                <c:pt idx="39">
                  <c:v>884368.27125982638</c:v>
                </c:pt>
                <c:pt idx="40">
                  <c:v>876780.34435152332</c:v>
                </c:pt>
                <c:pt idx="41">
                  <c:v>933972.44338757347</c:v>
                </c:pt>
                <c:pt idx="42">
                  <c:v>697594.85907092341</c:v>
                </c:pt>
                <c:pt idx="43">
                  <c:v>728750.10412170656</c:v>
                </c:pt>
                <c:pt idx="44">
                  <c:v>697411.47483140649</c:v>
                </c:pt>
                <c:pt idx="45">
                  <c:v>707393.38962431974</c:v>
                </c:pt>
                <c:pt idx="46">
                  <c:v>725822.55890306376</c:v>
                </c:pt>
                <c:pt idx="47">
                  <c:v>723938.25157651934</c:v>
                </c:pt>
                <c:pt idx="48">
                  <c:v>724253.84710281028</c:v>
                </c:pt>
                <c:pt idx="49">
                  <c:v>706430.49654351932</c:v>
                </c:pt>
                <c:pt idx="50">
                  <c:v>720023.17151994305</c:v>
                </c:pt>
                <c:pt idx="51">
                  <c:v>742254.8902902496</c:v>
                </c:pt>
                <c:pt idx="52">
                  <c:v>754670.67750829167</c:v>
                </c:pt>
                <c:pt idx="53">
                  <c:v>815471.26877386053</c:v>
                </c:pt>
                <c:pt idx="54">
                  <c:v>952170.55695091712</c:v>
                </c:pt>
                <c:pt idx="55">
                  <c:v>1075386.7156003879</c:v>
                </c:pt>
                <c:pt idx="56">
                  <c:v>1164421.8179805826</c:v>
                </c:pt>
                <c:pt idx="57">
                  <c:v>1205570.9846294546</c:v>
                </c:pt>
                <c:pt idx="58">
                  <c:v>1336880.8310995293</c:v>
                </c:pt>
                <c:pt idx="59">
                  <c:v>1509370.6295452036</c:v>
                </c:pt>
                <c:pt idx="60">
                  <c:v>1564412.9942922036</c:v>
                </c:pt>
                <c:pt idx="61">
                  <c:v>1648817.4234497873</c:v>
                </c:pt>
                <c:pt idx="62">
                  <c:v>1750030.6666341408</c:v>
                </c:pt>
                <c:pt idx="63">
                  <c:v>1759445.4377349</c:v>
                </c:pt>
                <c:pt idx="64">
                  <c:v>1756945.9206947207</c:v>
                </c:pt>
                <c:pt idx="65">
                  <c:v>1757307.2527580371</c:v>
                </c:pt>
                <c:pt idx="66">
                  <c:v>1652427.335337186</c:v>
                </c:pt>
                <c:pt idx="67">
                  <c:v>1646579.6307316683</c:v>
                </c:pt>
                <c:pt idx="68">
                  <c:v>1715398.5065530417</c:v>
                </c:pt>
                <c:pt idx="69">
                  <c:v>1804366.3964994394</c:v>
                </c:pt>
                <c:pt idx="70">
                  <c:v>1862046.8404228932</c:v>
                </c:pt>
                <c:pt idx="71">
                  <c:v>1939926.2299480932</c:v>
                </c:pt>
                <c:pt idx="72">
                  <c:v>2076553.8442300421</c:v>
                </c:pt>
                <c:pt idx="73">
                  <c:v>2210347.7684784844</c:v>
                </c:pt>
                <c:pt idx="74">
                  <c:v>2391618.0978054586</c:v>
                </c:pt>
                <c:pt idx="75">
                  <c:v>2668199.1281516086</c:v>
                </c:pt>
                <c:pt idx="76">
                  <c:v>2857214.8750026976</c:v>
                </c:pt>
              </c:numCache>
            </c:numRef>
          </c:val>
          <c:smooth val="0"/>
          <c:extLst>
            <c:ext xmlns:c16="http://schemas.microsoft.com/office/drawing/2014/chart" uri="{C3380CC4-5D6E-409C-BE32-E72D297353CC}">
              <c16:uniqueId val="{00000000-B647-444B-A2C3-ECDB2BFD02A1}"/>
            </c:ext>
          </c:extLst>
        </c:ser>
        <c:dLbls>
          <c:showLegendKey val="0"/>
          <c:showVal val="0"/>
          <c:showCatName val="0"/>
          <c:showSerName val="0"/>
          <c:showPercent val="0"/>
          <c:showBubbleSize val="0"/>
        </c:dLbls>
        <c:smooth val="0"/>
        <c:axId val="1273870159"/>
        <c:axId val="269664783"/>
      </c:lineChart>
      <c:catAx>
        <c:axId val="127387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664783"/>
        <c:crosses val="autoZero"/>
        <c:auto val="1"/>
        <c:lblAlgn val="ctr"/>
        <c:lblOffset val="100"/>
        <c:noMultiLvlLbl val="0"/>
      </c:catAx>
      <c:valAx>
        <c:axId val="269664783"/>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87015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1" i="0" u="none" strike="noStrike" baseline="0"/>
              <a:t>Year-on-Year Military Expenditure Growth</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1"/>
          <c:order val="1"/>
          <c:tx>
            <c:strRef>
              <c:f>'Year on Year Growth Calculation'!$F$2</c:f>
              <c:strCache>
                <c:ptCount val="1"/>
                <c:pt idx="0">
                  <c:v>YoY Growth</c:v>
                </c:pt>
              </c:strCache>
            </c:strRef>
          </c:tx>
          <c:spPr>
            <a:ln w="28575" cap="rnd">
              <a:solidFill>
                <a:schemeClr val="accent2"/>
              </a:solidFill>
              <a:round/>
            </a:ln>
            <a:effectLst/>
          </c:spPr>
          <c:marker>
            <c:symbol val="none"/>
          </c:marker>
          <c:cat>
            <c:strRef>
              <c:extLst>
                <c:ext xmlns:c15="http://schemas.microsoft.com/office/drawing/2012/chart" uri="{02D57815-91ED-43cb-92C2-25804820EDAC}">
                  <c15:fullRef>
                    <c15:sqref>'Year on Year Growth Calculation'!$E:$E</c15:sqref>
                  </c15:fullRef>
                </c:ext>
              </c:extLst>
              <c:f>('Year on Year Growth Calculation'!$E$1,'Year on Year Growth Calculation'!$E$3:$E$1048576)</c:f>
              <c:strCache>
                <c:ptCount val="78"/>
                <c:pt idx="1">
                  <c:v>1949</c:v>
                </c:pt>
                <c:pt idx="2">
                  <c:v>1950</c:v>
                </c:pt>
                <c:pt idx="3">
                  <c:v>1951</c:v>
                </c:pt>
                <c:pt idx="4">
                  <c:v>1952</c:v>
                </c:pt>
                <c:pt idx="5">
                  <c:v>1953</c:v>
                </c:pt>
                <c:pt idx="6">
                  <c:v>1954</c:v>
                </c:pt>
                <c:pt idx="7">
                  <c:v>1955</c:v>
                </c:pt>
                <c:pt idx="8">
                  <c:v>1956</c:v>
                </c:pt>
                <c:pt idx="9">
                  <c:v>1957</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pt idx="74">
                  <c:v>2022</c:v>
                </c:pt>
                <c:pt idx="75">
                  <c:v>2023</c:v>
                </c:pt>
                <c:pt idx="76">
                  <c:v>2024</c:v>
                </c:pt>
                <c:pt idx="77">
                  <c:v>2025</c:v>
                </c:pt>
              </c:strCache>
            </c:strRef>
          </c:cat>
          <c:val>
            <c:numRef>
              <c:extLst>
                <c:ext xmlns:c15="http://schemas.microsoft.com/office/drawing/2012/chart" uri="{02D57815-91ED-43cb-92C2-25804820EDAC}">
                  <c15:fullRef>
                    <c15:sqref>'Year on Year Growth Calculation'!$F$3:$F$81</c15:sqref>
                  </c15:fullRef>
                </c:ext>
              </c:extLst>
              <c:f>('Year on Year Growth Calculation'!$F$3,'Year on Year Growth Calculation'!$F$5:$F$81)</c:f>
              <c:numCache>
                <c:formatCode>0.00%</c:formatCode>
                <c:ptCount val="78"/>
                <c:pt idx="1">
                  <c:v>1.1069253194426987</c:v>
                </c:pt>
                <c:pt idx="2">
                  <c:v>0.4389939389149895</c:v>
                </c:pt>
                <c:pt idx="3">
                  <c:v>8.4184667327466808E-2</c:v>
                </c:pt>
                <c:pt idx="4">
                  <c:v>-0.10615068119230006</c:v>
                </c:pt>
                <c:pt idx="5">
                  <c:v>-2.9964863367236933E-2</c:v>
                </c:pt>
                <c:pt idx="6">
                  <c:v>5.3651666036550305E-2</c:v>
                </c:pt>
                <c:pt idx="7">
                  <c:v>7.9657351684276595E-2</c:v>
                </c:pt>
                <c:pt idx="8">
                  <c:v>1.1252429666350681E-2</c:v>
                </c:pt>
                <c:pt idx="9">
                  <c:v>3.1762346614819102E-2</c:v>
                </c:pt>
                <c:pt idx="10">
                  <c:v>1.4253348185531423E-2</c:v>
                </c:pt>
                <c:pt idx="11">
                  <c:v>5.3478159126230475E-2</c:v>
                </c:pt>
                <c:pt idx="12">
                  <c:v>0.11377650787197169</c:v>
                </c:pt>
                <c:pt idx="13">
                  <c:v>3.6094784479101749E-2</c:v>
                </c:pt>
                <c:pt idx="14">
                  <c:v>1.2480252111881964E-2</c:v>
                </c:pt>
                <c:pt idx="15">
                  <c:v>4.231409131125529E-2</c:v>
                </c:pt>
                <c:pt idx="16">
                  <c:v>0.15039453464323652</c:v>
                </c:pt>
                <c:pt idx="17">
                  <c:v>0.13647005675096546</c:v>
                </c:pt>
                <c:pt idx="18">
                  <c:v>6.4319696611869759E-2</c:v>
                </c:pt>
                <c:pt idx="19">
                  <c:v>3.3282570957145978E-2</c:v>
                </c:pt>
                <c:pt idx="20">
                  <c:v>2.5320216404279262E-2</c:v>
                </c:pt>
                <c:pt idx="21">
                  <c:v>9.1074291341341485E-3</c:v>
                </c:pt>
                <c:pt idx="22">
                  <c:v>8.6515937426065476E-2</c:v>
                </c:pt>
                <c:pt idx="23">
                  <c:v>0.10018611538669828</c:v>
                </c:pt>
                <c:pt idx="24">
                  <c:v>0.15259773853308964</c:v>
                </c:pt>
                <c:pt idx="25">
                  <c:v>0.10974607902054505</c:v>
                </c:pt>
                <c:pt idx="26">
                  <c:v>5.3218113245541113E-2</c:v>
                </c:pt>
                <c:pt idx="27">
                  <c:v>0.16786300700446102</c:v>
                </c:pt>
                <c:pt idx="28">
                  <c:v>0.10149968398523888</c:v>
                </c:pt>
                <c:pt idx="29">
                  <c:v>0.10512022335479282</c:v>
                </c:pt>
                <c:pt idx="30">
                  <c:v>0.14737691161433344</c:v>
                </c:pt>
                <c:pt idx="31">
                  <c:v>0.10320664398015909</c:v>
                </c:pt>
                <c:pt idx="32">
                  <c:v>0.10937940954195853</c:v>
                </c:pt>
                <c:pt idx="33">
                  <c:v>-1.3865162348129822E-2</c:v>
                </c:pt>
                <c:pt idx="34">
                  <c:v>4.056545218300895E-2</c:v>
                </c:pt>
                <c:pt idx="35">
                  <c:v>5.8369547660921603E-2</c:v>
                </c:pt>
                <c:pt idx="36">
                  <c:v>9.2366519337999983E-2</c:v>
                </c:pt>
                <c:pt idx="37">
                  <c:v>0.55225238211016991</c:v>
                </c:pt>
                <c:pt idx="38">
                  <c:v>7.2136539228058613E-2</c:v>
                </c:pt>
                <c:pt idx="39">
                  <c:v>-8.5800533045963696E-3</c:v>
                </c:pt>
                <c:pt idx="40">
                  <c:v>6.5229677426619406E-2</c:v>
                </c:pt>
                <c:pt idx="41">
                  <c:v>-0.25308839247900561</c:v>
                </c:pt>
                <c:pt idx="42">
                  <c:v>4.4660944165036694E-2</c:v>
                </c:pt>
                <c:pt idx="43">
                  <c:v>-4.3003258748167933E-2</c:v>
                </c:pt>
                <c:pt idx="44">
                  <c:v>1.4312805500262656E-2</c:v>
                </c:pt>
                <c:pt idx="45">
                  <c:v>2.6052221506524583E-2</c:v>
                </c:pt>
                <c:pt idx="46">
                  <c:v>-2.5960991476927649E-3</c:v>
                </c:pt>
                <c:pt idx="47">
                  <c:v>4.3594260367326788E-4</c:v>
                </c:pt>
                <c:pt idx="48">
                  <c:v>-2.4609259074823912E-2</c:v>
                </c:pt>
                <c:pt idx="49">
                  <c:v>1.9241347935757415E-2</c:v>
                </c:pt>
                <c:pt idx="50">
                  <c:v>3.087639349630401E-2</c:v>
                </c:pt>
                <c:pt idx="51">
                  <c:v>1.6727120805074155E-2</c:v>
                </c:pt>
                <c:pt idx="52">
                  <c:v>8.056572631961155E-2</c:v>
                </c:pt>
                <c:pt idx="53">
                  <c:v>0.16763225561900802</c:v>
                </c:pt>
                <c:pt idx="54">
                  <c:v>0.12940555423603839</c:v>
                </c:pt>
                <c:pt idx="55">
                  <c:v>8.2793567270808666E-2</c:v>
                </c:pt>
                <c:pt idx="56">
                  <c:v>3.5338711464747007E-2</c:v>
                </c:pt>
                <c:pt idx="57">
                  <c:v>0.10891921599326998</c:v>
                </c:pt>
                <c:pt idx="58">
                  <c:v>0.12902406439907485</c:v>
                </c:pt>
                <c:pt idx="59">
                  <c:v>3.6467096728644462E-2</c:v>
                </c:pt>
                <c:pt idx="60">
                  <c:v>5.3952779391078461E-2</c:v>
                </c:pt>
                <c:pt idx="61">
                  <c:v>6.1385355191472347E-2</c:v>
                </c:pt>
                <c:pt idx="62">
                  <c:v>5.3797749263827695E-3</c:v>
                </c:pt>
                <c:pt idx="63">
                  <c:v>-1.420627765187881E-3</c:v>
                </c:pt>
                <c:pt idx="64">
                  <c:v>2.0565918339335786E-4</c:v>
                </c:pt>
                <c:pt idx="65">
                  <c:v>-5.9682174108281527E-2</c:v>
                </c:pt>
                <c:pt idx="66">
                  <c:v>-3.5388573406312132E-3</c:v>
                </c:pt>
                <c:pt idx="67">
                  <c:v>4.1795048679664104E-2</c:v>
                </c:pt>
                <c:pt idx="68">
                  <c:v>5.1864269210057552E-2</c:v>
                </c:pt>
                <c:pt idx="69">
                  <c:v>3.1967145938517107E-2</c:v>
                </c:pt>
                <c:pt idx="70">
                  <c:v>4.1824613556720548E-2</c:v>
                </c:pt>
                <c:pt idx="71">
                  <c:v>7.0429283429816122E-2</c:v>
                </c:pt>
                <c:pt idx="72">
                  <c:v>6.4430751275824136E-2</c:v>
                </c:pt>
                <c:pt idx="73">
                  <c:v>8.2009868271432029E-2</c:v>
                </c:pt>
                <c:pt idx="74">
                  <c:v>0.11564598486687316</c:v>
                </c:pt>
                <c:pt idx="75">
                  <c:v>7.0840195117681998E-2</c:v>
                </c:pt>
              </c:numCache>
            </c:numRef>
          </c:val>
          <c:smooth val="0"/>
          <c:extLst>
            <c:ext xmlns:c16="http://schemas.microsoft.com/office/drawing/2014/chart" uri="{C3380CC4-5D6E-409C-BE32-E72D297353CC}">
              <c16:uniqueId val="{00000000-5DA3-4B6D-894A-67433E2A01CF}"/>
            </c:ext>
          </c:extLst>
        </c:ser>
        <c:dLbls>
          <c:showLegendKey val="0"/>
          <c:showVal val="0"/>
          <c:showCatName val="0"/>
          <c:showSerName val="0"/>
          <c:showPercent val="0"/>
          <c:showBubbleSize val="0"/>
        </c:dLbls>
        <c:smooth val="0"/>
        <c:axId val="177509039"/>
        <c:axId val="268768911"/>
        <c:extLst>
          <c:ext xmlns:c15="http://schemas.microsoft.com/office/drawing/2012/chart" uri="{02D57815-91ED-43cb-92C2-25804820EDAC}">
            <c15:filteredLineSeries>
              <c15:ser>
                <c:idx val="0"/>
                <c:order val="0"/>
                <c:tx>
                  <c:strRef>
                    <c:extLst>
                      <c:ext uri="{02D57815-91ED-43cb-92C2-25804820EDAC}">
                        <c15:formulaRef>
                          <c15:sqref>'Year on Year Growth Calculation'!$E$2</c15:sqref>
                        </c15:formulaRef>
                      </c:ext>
                    </c:extLst>
                    <c:strCache>
                      <c:ptCount val="1"/>
                      <c:pt idx="0">
                        <c:v>Year</c:v>
                      </c:pt>
                    </c:strCache>
                  </c:strRef>
                </c:tx>
                <c:spPr>
                  <a:ln w="28575" cap="rnd">
                    <a:solidFill>
                      <a:schemeClr val="accent1"/>
                    </a:solidFill>
                    <a:round/>
                  </a:ln>
                  <a:effectLst/>
                </c:spPr>
                <c:marker>
                  <c:symbol val="none"/>
                </c:marker>
                <c:cat>
                  <c:strRef>
                    <c:extLst>
                      <c:ext uri="{02D57815-91ED-43cb-92C2-25804820EDAC}">
                        <c15:fullRef>
                          <c15:sqref>'Year on Year Growth Calculation'!$E:$E</c15:sqref>
                        </c15:fullRef>
                        <c15:formulaRef>
                          <c15:sqref>('Year on Year Growth Calculation'!$E$1,'Year on Year Growth Calculation'!$E$3:$E$1048576)</c15:sqref>
                        </c15:formulaRef>
                      </c:ext>
                    </c:extLst>
                    <c:strCache>
                      <c:ptCount val="78"/>
                      <c:pt idx="1">
                        <c:v>1949</c:v>
                      </c:pt>
                      <c:pt idx="2">
                        <c:v>1950</c:v>
                      </c:pt>
                      <c:pt idx="3">
                        <c:v>1951</c:v>
                      </c:pt>
                      <c:pt idx="4">
                        <c:v>1952</c:v>
                      </c:pt>
                      <c:pt idx="5">
                        <c:v>1953</c:v>
                      </c:pt>
                      <c:pt idx="6">
                        <c:v>1954</c:v>
                      </c:pt>
                      <c:pt idx="7">
                        <c:v>1955</c:v>
                      </c:pt>
                      <c:pt idx="8">
                        <c:v>1956</c:v>
                      </c:pt>
                      <c:pt idx="9">
                        <c:v>1957</c:v>
                      </c:pt>
                      <c:pt idx="10">
                        <c:v>1958</c:v>
                      </c:pt>
                      <c:pt idx="11">
                        <c:v>1959</c:v>
                      </c:pt>
                      <c:pt idx="12">
                        <c:v>1960</c:v>
                      </c:pt>
                      <c:pt idx="13">
                        <c:v>1961</c:v>
                      </c:pt>
                      <c:pt idx="14">
                        <c:v>1962</c:v>
                      </c:pt>
                      <c:pt idx="15">
                        <c:v>1963</c:v>
                      </c:pt>
                      <c:pt idx="16">
                        <c:v>1964</c:v>
                      </c:pt>
                      <c:pt idx="17">
                        <c:v>1965</c:v>
                      </c:pt>
                      <c:pt idx="18">
                        <c:v>1966</c:v>
                      </c:pt>
                      <c:pt idx="19">
                        <c:v>1967</c:v>
                      </c:pt>
                      <c:pt idx="20">
                        <c:v>1968</c:v>
                      </c:pt>
                      <c:pt idx="21">
                        <c:v>1969</c:v>
                      </c:pt>
                      <c:pt idx="22">
                        <c:v>1970</c:v>
                      </c:pt>
                      <c:pt idx="23">
                        <c:v>1971</c:v>
                      </c:pt>
                      <c:pt idx="24">
                        <c:v>1972</c:v>
                      </c:pt>
                      <c:pt idx="25">
                        <c:v>1973</c:v>
                      </c:pt>
                      <c:pt idx="26">
                        <c:v>1974</c:v>
                      </c:pt>
                      <c:pt idx="27">
                        <c:v>1975</c:v>
                      </c:pt>
                      <c:pt idx="28">
                        <c:v>1976</c:v>
                      </c:pt>
                      <c:pt idx="29">
                        <c:v>1977</c:v>
                      </c:pt>
                      <c:pt idx="30">
                        <c:v>1978</c:v>
                      </c:pt>
                      <c:pt idx="31">
                        <c:v>1979</c:v>
                      </c:pt>
                      <c:pt idx="32">
                        <c:v>1980</c:v>
                      </c:pt>
                      <c:pt idx="33">
                        <c:v>1981</c:v>
                      </c:pt>
                      <c:pt idx="34">
                        <c:v>1982</c:v>
                      </c:pt>
                      <c:pt idx="35">
                        <c:v>1983</c:v>
                      </c:pt>
                      <c:pt idx="36">
                        <c:v>1984</c:v>
                      </c:pt>
                      <c:pt idx="37">
                        <c:v>1985</c:v>
                      </c:pt>
                      <c:pt idx="38">
                        <c:v>1986</c:v>
                      </c:pt>
                      <c:pt idx="39">
                        <c:v>1987</c:v>
                      </c:pt>
                      <c:pt idx="40">
                        <c:v>1988</c:v>
                      </c:pt>
                      <c:pt idx="41">
                        <c:v>1989</c:v>
                      </c:pt>
                      <c:pt idx="42">
                        <c:v>1990</c:v>
                      </c:pt>
                      <c:pt idx="43">
                        <c:v>1991</c:v>
                      </c:pt>
                      <c:pt idx="44">
                        <c:v>1992</c:v>
                      </c:pt>
                      <c:pt idx="45">
                        <c:v>1993</c:v>
                      </c:pt>
                      <c:pt idx="46">
                        <c:v>1994</c:v>
                      </c:pt>
                      <c:pt idx="47">
                        <c:v>1995</c:v>
                      </c:pt>
                      <c:pt idx="48">
                        <c:v>1996</c:v>
                      </c:pt>
                      <c:pt idx="49">
                        <c:v>1997</c:v>
                      </c:pt>
                      <c:pt idx="50">
                        <c:v>1998</c:v>
                      </c:pt>
                      <c:pt idx="51">
                        <c:v>1999</c:v>
                      </c:pt>
                      <c:pt idx="52">
                        <c:v>2000</c:v>
                      </c:pt>
                      <c:pt idx="53">
                        <c:v>2001</c:v>
                      </c:pt>
                      <c:pt idx="54">
                        <c:v>2002</c:v>
                      </c:pt>
                      <c:pt idx="55">
                        <c:v>2003</c:v>
                      </c:pt>
                      <c:pt idx="56">
                        <c:v>2004</c:v>
                      </c:pt>
                      <c:pt idx="57">
                        <c:v>2005</c:v>
                      </c:pt>
                      <c:pt idx="58">
                        <c:v>2006</c:v>
                      </c:pt>
                      <c:pt idx="59">
                        <c:v>2007</c:v>
                      </c:pt>
                      <c:pt idx="60">
                        <c:v>2008</c:v>
                      </c:pt>
                      <c:pt idx="61">
                        <c:v>2009</c:v>
                      </c:pt>
                      <c:pt idx="62">
                        <c:v>2010</c:v>
                      </c:pt>
                      <c:pt idx="63">
                        <c:v>2011</c:v>
                      </c:pt>
                      <c:pt idx="64">
                        <c:v>2012</c:v>
                      </c:pt>
                      <c:pt idx="65">
                        <c:v>2013</c:v>
                      </c:pt>
                      <c:pt idx="66">
                        <c:v>2014</c:v>
                      </c:pt>
                      <c:pt idx="67">
                        <c:v>2015</c:v>
                      </c:pt>
                      <c:pt idx="68">
                        <c:v>2016</c:v>
                      </c:pt>
                      <c:pt idx="69">
                        <c:v>2017</c:v>
                      </c:pt>
                      <c:pt idx="70">
                        <c:v>2018</c:v>
                      </c:pt>
                      <c:pt idx="71">
                        <c:v>2019</c:v>
                      </c:pt>
                      <c:pt idx="72">
                        <c:v>2020</c:v>
                      </c:pt>
                      <c:pt idx="73">
                        <c:v>2021</c:v>
                      </c:pt>
                      <c:pt idx="74">
                        <c:v>2022</c:v>
                      </c:pt>
                      <c:pt idx="75">
                        <c:v>2023</c:v>
                      </c:pt>
                      <c:pt idx="76">
                        <c:v>2024</c:v>
                      </c:pt>
                      <c:pt idx="77">
                        <c:v>2025</c:v>
                      </c:pt>
                    </c:strCache>
                  </c:strRef>
                </c:cat>
                <c:val>
                  <c:numRef>
                    <c:extLst>
                      <c:ext uri="{02D57815-91ED-43cb-92C2-25804820EDAC}">
                        <c15:fullRef>
                          <c15:sqref>'Year on Year Growth Calculation'!$E$3:$E$81</c15:sqref>
                        </c15:fullRef>
                        <c15:formulaRef>
                          <c15:sqref>('Year on Year Growth Calculation'!$E$3,'Year on Year Growth Calculation'!$E$5:$E$81)</c15:sqref>
                        </c15:formulaRef>
                      </c:ext>
                    </c:extLst>
                    <c:numCache>
                      <c:formatCode>General</c:formatCode>
                      <c:ptCount val="78"/>
                      <c:pt idx="0">
                        <c:v>1949</c:v>
                      </c:pt>
                      <c:pt idx="1">
                        <c:v>1951</c:v>
                      </c:pt>
                      <c:pt idx="2">
                        <c:v>1952</c:v>
                      </c:pt>
                      <c:pt idx="3">
                        <c:v>1953</c:v>
                      </c:pt>
                      <c:pt idx="4">
                        <c:v>1954</c:v>
                      </c:pt>
                      <c:pt idx="5">
                        <c:v>1955</c:v>
                      </c:pt>
                      <c:pt idx="6">
                        <c:v>1956</c:v>
                      </c:pt>
                      <c:pt idx="7">
                        <c:v>1957</c:v>
                      </c:pt>
                      <c:pt idx="8">
                        <c:v>1958</c:v>
                      </c:pt>
                      <c:pt idx="9">
                        <c:v>1959</c:v>
                      </c:pt>
                      <c:pt idx="10">
                        <c:v>1960</c:v>
                      </c:pt>
                      <c:pt idx="11">
                        <c:v>1961</c:v>
                      </c:pt>
                      <c:pt idx="12">
                        <c:v>1962</c:v>
                      </c:pt>
                      <c:pt idx="13">
                        <c:v>1963</c:v>
                      </c:pt>
                      <c:pt idx="14">
                        <c:v>1964</c:v>
                      </c:pt>
                      <c:pt idx="15">
                        <c:v>1965</c:v>
                      </c:pt>
                      <c:pt idx="16">
                        <c:v>1966</c:v>
                      </c:pt>
                      <c:pt idx="17">
                        <c:v>1967</c:v>
                      </c:pt>
                      <c:pt idx="18">
                        <c:v>1968</c:v>
                      </c:pt>
                      <c:pt idx="19">
                        <c:v>1969</c:v>
                      </c:pt>
                      <c:pt idx="20">
                        <c:v>1970</c:v>
                      </c:pt>
                      <c:pt idx="21">
                        <c:v>1971</c:v>
                      </c:pt>
                      <c:pt idx="22">
                        <c:v>1972</c:v>
                      </c:pt>
                      <c:pt idx="23">
                        <c:v>1973</c:v>
                      </c:pt>
                      <c:pt idx="24">
                        <c:v>1974</c:v>
                      </c:pt>
                      <c:pt idx="25">
                        <c:v>1975</c:v>
                      </c:pt>
                      <c:pt idx="26">
                        <c:v>1976</c:v>
                      </c:pt>
                      <c:pt idx="27">
                        <c:v>1977</c:v>
                      </c:pt>
                      <c:pt idx="28">
                        <c:v>1978</c:v>
                      </c:pt>
                      <c:pt idx="29">
                        <c:v>1979</c:v>
                      </c:pt>
                      <c:pt idx="30">
                        <c:v>1980</c:v>
                      </c:pt>
                      <c:pt idx="31">
                        <c:v>1981</c:v>
                      </c:pt>
                      <c:pt idx="32">
                        <c:v>1982</c:v>
                      </c:pt>
                      <c:pt idx="33">
                        <c:v>1983</c:v>
                      </c:pt>
                      <c:pt idx="34">
                        <c:v>1984</c:v>
                      </c:pt>
                      <c:pt idx="35">
                        <c:v>1985</c:v>
                      </c:pt>
                      <c:pt idx="36">
                        <c:v>1986</c:v>
                      </c:pt>
                      <c:pt idx="37">
                        <c:v>1987</c:v>
                      </c:pt>
                      <c:pt idx="38">
                        <c:v>1988</c:v>
                      </c:pt>
                      <c:pt idx="39">
                        <c:v>1989</c:v>
                      </c:pt>
                      <c:pt idx="40">
                        <c:v>1990</c:v>
                      </c:pt>
                      <c:pt idx="41">
                        <c:v>1991</c:v>
                      </c:pt>
                      <c:pt idx="42">
                        <c:v>1992</c:v>
                      </c:pt>
                      <c:pt idx="43">
                        <c:v>1993</c:v>
                      </c:pt>
                      <c:pt idx="44">
                        <c:v>1994</c:v>
                      </c:pt>
                      <c:pt idx="45">
                        <c:v>1995</c:v>
                      </c:pt>
                      <c:pt idx="46">
                        <c:v>1996</c:v>
                      </c:pt>
                      <c:pt idx="47">
                        <c:v>1997</c:v>
                      </c:pt>
                      <c:pt idx="48">
                        <c:v>1998</c:v>
                      </c:pt>
                      <c:pt idx="49">
                        <c:v>1999</c:v>
                      </c:pt>
                      <c:pt idx="50">
                        <c:v>2000</c:v>
                      </c:pt>
                      <c:pt idx="51">
                        <c:v>2001</c:v>
                      </c:pt>
                      <c:pt idx="52">
                        <c:v>2002</c:v>
                      </c:pt>
                      <c:pt idx="53">
                        <c:v>2003</c:v>
                      </c:pt>
                      <c:pt idx="54">
                        <c:v>2004</c:v>
                      </c:pt>
                      <c:pt idx="55">
                        <c:v>2005</c:v>
                      </c:pt>
                      <c:pt idx="56">
                        <c:v>2006</c:v>
                      </c:pt>
                      <c:pt idx="57">
                        <c:v>2007</c:v>
                      </c:pt>
                      <c:pt idx="58">
                        <c:v>2008</c:v>
                      </c:pt>
                      <c:pt idx="59">
                        <c:v>2009</c:v>
                      </c:pt>
                      <c:pt idx="60">
                        <c:v>2010</c:v>
                      </c:pt>
                      <c:pt idx="61">
                        <c:v>2011</c:v>
                      </c:pt>
                      <c:pt idx="62">
                        <c:v>2012</c:v>
                      </c:pt>
                      <c:pt idx="63">
                        <c:v>2013</c:v>
                      </c:pt>
                      <c:pt idx="64">
                        <c:v>2014</c:v>
                      </c:pt>
                      <c:pt idx="65">
                        <c:v>2015</c:v>
                      </c:pt>
                      <c:pt idx="66">
                        <c:v>2016</c:v>
                      </c:pt>
                      <c:pt idx="67">
                        <c:v>2017</c:v>
                      </c:pt>
                      <c:pt idx="68">
                        <c:v>2018</c:v>
                      </c:pt>
                      <c:pt idx="69">
                        <c:v>2019</c:v>
                      </c:pt>
                      <c:pt idx="70">
                        <c:v>2020</c:v>
                      </c:pt>
                      <c:pt idx="71">
                        <c:v>2021</c:v>
                      </c:pt>
                      <c:pt idx="72">
                        <c:v>2022</c:v>
                      </c:pt>
                      <c:pt idx="73">
                        <c:v>2023</c:v>
                      </c:pt>
                      <c:pt idx="74">
                        <c:v>2024</c:v>
                      </c:pt>
                      <c:pt idx="75">
                        <c:v>2025</c:v>
                      </c:pt>
                    </c:numCache>
                  </c:numRef>
                </c:val>
                <c:smooth val="0"/>
                <c:extLst>
                  <c:ext xmlns:c16="http://schemas.microsoft.com/office/drawing/2014/chart" uri="{C3380CC4-5D6E-409C-BE32-E72D297353CC}">
                    <c16:uniqueId val="{00000001-5DA3-4B6D-894A-67433E2A01CF}"/>
                  </c:ext>
                </c:extLst>
              </c15:ser>
            </c15:filteredLineSeries>
          </c:ext>
        </c:extLst>
      </c:lineChart>
      <c:catAx>
        <c:axId val="17750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8768911"/>
        <c:crosses val="autoZero"/>
        <c:auto val="1"/>
        <c:lblAlgn val="ctr"/>
        <c:lblOffset val="100"/>
        <c:noMultiLvlLbl val="0"/>
      </c:catAx>
      <c:valAx>
        <c:axId val="268768911"/>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750903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6">
        <a:lumMod val="20000"/>
        <a:lumOff val="8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[Defence_Analytics_Workbook.xlsx]Top 10 Military Spenders!PivotTable2</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Top 10 Countries by Military Expenditure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'Top 10 Military Spenders'!$B$3</c:f>
              <c:strCache>
                <c:ptCount val="1"/>
                <c:pt idx="0">
                  <c:v>Total</c:v>
                </c:pt>
              </c:strCache>
            </c:strRef>
          </c:tx>
          <c:spPr>
            <a:solidFill>
              <a:schemeClr val="accent1"/>
            </a:solidFill>
            <a:ln>
              <a:noFill/>
            </a:ln>
            <a:effectLst/>
          </c:spPr>
          <c:invertIfNegative val="0"/>
          <c:dLbls>
            <c:numFmt formatCode="0.00,,&quot;M&quot;"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10 Military Spenders'!$A$4:$A$14</c:f>
              <c:strCache>
                <c:ptCount val="10"/>
                <c:pt idx="0">
                  <c:v>United States of America</c:v>
                </c:pt>
                <c:pt idx="1">
                  <c:v>China</c:v>
                </c:pt>
                <c:pt idx="2">
                  <c:v>United Kingdom</c:v>
                </c:pt>
                <c:pt idx="3">
                  <c:v>France</c:v>
                </c:pt>
                <c:pt idx="4">
                  <c:v>Germany</c:v>
                </c:pt>
                <c:pt idx="5">
                  <c:v>Japan</c:v>
                </c:pt>
                <c:pt idx="6">
                  <c:v>Russia</c:v>
                </c:pt>
                <c:pt idx="7">
                  <c:v>Saudi Arabia</c:v>
                </c:pt>
                <c:pt idx="8">
                  <c:v>India</c:v>
                </c:pt>
                <c:pt idx="9">
                  <c:v>Italy</c:v>
                </c:pt>
              </c:strCache>
            </c:strRef>
          </c:cat>
          <c:val>
            <c:numRef>
              <c:f>'Top 10 Military Spenders'!$B$4:$B$14</c:f>
              <c:numCache>
                <c:formatCode>General</c:formatCode>
                <c:ptCount val="10"/>
                <c:pt idx="0">
                  <c:v>24771447.192398503</c:v>
                </c:pt>
                <c:pt idx="1">
                  <c:v>4207487.9537360948</c:v>
                </c:pt>
                <c:pt idx="2">
                  <c:v>2553523.8698949721</c:v>
                </c:pt>
                <c:pt idx="3">
                  <c:v>2049338.8822624106</c:v>
                </c:pt>
                <c:pt idx="4">
                  <c:v>2011290.9735431075</c:v>
                </c:pt>
                <c:pt idx="5">
                  <c:v>1879819.7335449487</c:v>
                </c:pt>
                <c:pt idx="6">
                  <c:v>1761845.6917850687</c:v>
                </c:pt>
                <c:pt idx="7">
                  <c:v>1754380.5015239776</c:v>
                </c:pt>
                <c:pt idx="8">
                  <c:v>1498226.2518580921</c:v>
                </c:pt>
                <c:pt idx="9">
                  <c:v>1155748.7162542182</c:v>
                </c:pt>
              </c:numCache>
            </c:numRef>
          </c:val>
          <c:extLst>
            <c:ext xmlns:c16="http://schemas.microsoft.com/office/drawing/2014/chart" uri="{C3380CC4-5D6E-409C-BE32-E72D297353CC}">
              <c16:uniqueId val="{00000000-447B-4D2E-B812-A4CA4753EFC5}"/>
            </c:ext>
          </c:extLst>
        </c:ser>
        <c:dLbls>
          <c:dLblPos val="outEnd"/>
          <c:showLegendKey val="0"/>
          <c:showVal val="1"/>
          <c:showCatName val="0"/>
          <c:showSerName val="0"/>
          <c:showPercent val="0"/>
          <c:showBubbleSize val="0"/>
        </c:dLbls>
        <c:gapWidth val="182"/>
        <c:axId val="179398383"/>
        <c:axId val="686437439"/>
      </c:barChart>
      <c:catAx>
        <c:axId val="179398383"/>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6437439"/>
        <c:crosses val="autoZero"/>
        <c:auto val="1"/>
        <c:lblAlgn val="ctr"/>
        <c:lblOffset val="100"/>
        <c:noMultiLvlLbl val="0"/>
      </c:catAx>
      <c:valAx>
        <c:axId val="686437439"/>
        <c:scaling>
          <c:orientation val="minMax"/>
        </c:scaling>
        <c:delete val="0"/>
        <c:axPos val="t"/>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3983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[Defence_Analytics_Workbook.xlsx]Military Expenditure Trend!PivotTable4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Global Military Expenditure Trend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pivotFmt>
      <c:pivotFmt>
        <c:idx val="1"/>
        <c:spPr>
          <a:solidFill>
            <a:schemeClr val="accent1"/>
          </a:solidFill>
          <a:ln w="28575" cap="rnd">
            <a:solidFill>
              <a:schemeClr val="accent1"/>
            </a:solidFill>
            <a:round/>
          </a:ln>
          <a:effectLst/>
        </c:spPr>
        <c:marker>
          <c:symbol val="none"/>
        </c:marker>
      </c:pivotFmt>
      <c:pivotFmt>
        <c:idx val="2"/>
        <c:spPr>
          <a:solidFill>
            <a:schemeClr val="accent1"/>
          </a:solidFill>
          <a:ln w="28575" cap="rnd">
            <a:solidFill>
              <a:schemeClr val="accent1"/>
            </a:solidFill>
            <a:round/>
          </a:ln>
          <a:effectLst/>
        </c:spPr>
        <c:marker>
          <c:symbol val="none"/>
        </c:marker>
      </c:pivotFmt>
      <c:pivotFmt>
        <c:idx val="3"/>
        <c:spPr>
          <a:solidFill>
            <a:schemeClr val="accent1"/>
          </a:solidFill>
          <a:ln w="28575" cap="rnd">
            <a:solidFill>
              <a:schemeClr val="accent1"/>
            </a:solidFill>
            <a:round/>
          </a:ln>
          <a:effectLst/>
        </c:spPr>
        <c:marker>
          <c:symbol val="none"/>
        </c:marker>
      </c:pivotFmt>
      <c:pivotFmt>
        <c:idx val="4"/>
        <c:spPr>
          <a:ln w="28575" cap="rnd">
            <a:solidFill>
              <a:schemeClr val="accent1"/>
            </a:solidFill>
            <a:round/>
          </a:ln>
          <a:effectLst/>
        </c:spPr>
        <c:marker>
          <c:symbol val="none"/>
        </c:marker>
      </c:pivotFmt>
    </c:pivotFmts>
    <c:plotArea>
      <c:layout/>
      <c:lineChart>
        <c:grouping val="standard"/>
        <c:varyColors val="0"/>
        <c:ser>
          <c:idx val="0"/>
          <c:order val="0"/>
          <c:tx>
            <c:strRef>
              <c:f>'Military Expenditure Trend'!$B$1</c:f>
              <c:strCache>
                <c:ptCount val="1"/>
                <c:pt idx="0">
                  <c:v>Total</c:v>
                </c:pt>
              </c:strCache>
            </c:strRef>
          </c:tx>
          <c:spPr>
            <a:ln w="28575" cap="rnd">
              <a:solidFill>
                <a:schemeClr val="accent1"/>
              </a:solidFill>
              <a:round/>
            </a:ln>
            <a:effectLst/>
          </c:spPr>
          <c:marker>
            <c:symbol val="none"/>
          </c:marker>
          <c:cat>
            <c:strRef>
              <c:f>'Military Expenditure Trend'!$A$2:$A$79</c:f>
              <c:strCache>
                <c:ptCount val="77"/>
                <c:pt idx="0">
                  <c:v>1949</c:v>
                </c:pt>
                <c:pt idx="1">
                  <c:v>1950</c:v>
                </c:pt>
                <c:pt idx="2">
                  <c:v>1951</c:v>
                </c:pt>
                <c:pt idx="3">
                  <c:v>1952</c:v>
                </c:pt>
                <c:pt idx="4">
                  <c:v>1953</c:v>
                </c:pt>
                <c:pt idx="5">
                  <c:v>1954</c:v>
                </c:pt>
                <c:pt idx="6">
                  <c:v>1955</c:v>
                </c:pt>
                <c:pt idx="7">
                  <c:v>1956</c:v>
                </c:pt>
                <c:pt idx="8">
                  <c:v>1957</c:v>
                </c:pt>
                <c:pt idx="9">
                  <c:v>1958</c:v>
                </c:pt>
                <c:pt idx="10">
                  <c:v>1959</c:v>
                </c:pt>
                <c:pt idx="11">
                  <c:v>1960</c:v>
                </c:pt>
                <c:pt idx="12">
                  <c:v>1961</c:v>
                </c:pt>
                <c:pt idx="13">
                  <c:v>1962</c:v>
                </c:pt>
                <c:pt idx="14">
                  <c:v>1963</c:v>
                </c:pt>
                <c:pt idx="15">
                  <c:v>1964</c:v>
                </c:pt>
                <c:pt idx="16">
                  <c:v>1965</c:v>
                </c:pt>
                <c:pt idx="17">
                  <c:v>1966</c:v>
                </c:pt>
                <c:pt idx="18">
                  <c:v>1967</c:v>
                </c:pt>
                <c:pt idx="19">
                  <c:v>1968</c:v>
                </c:pt>
                <c:pt idx="20">
                  <c:v>1969</c:v>
                </c:pt>
                <c:pt idx="21">
                  <c:v>1970</c:v>
                </c:pt>
                <c:pt idx="22">
                  <c:v>1971</c:v>
                </c:pt>
                <c:pt idx="23">
                  <c:v>1972</c:v>
                </c:pt>
                <c:pt idx="24">
                  <c:v>1973</c:v>
                </c:pt>
                <c:pt idx="25">
                  <c:v>1974</c:v>
                </c:pt>
                <c:pt idx="26">
                  <c:v>1975</c:v>
                </c:pt>
                <c:pt idx="27">
                  <c:v>1976</c:v>
                </c:pt>
                <c:pt idx="28">
                  <c:v>1977</c:v>
                </c:pt>
                <c:pt idx="29">
                  <c:v>1978</c:v>
                </c:pt>
                <c:pt idx="30">
                  <c:v>1979</c:v>
                </c:pt>
                <c:pt idx="31">
                  <c:v>1980</c:v>
                </c:pt>
                <c:pt idx="32">
                  <c:v>1981</c:v>
                </c:pt>
                <c:pt idx="33">
                  <c:v>1982</c:v>
                </c:pt>
                <c:pt idx="34">
                  <c:v>1983</c:v>
                </c:pt>
                <c:pt idx="35">
                  <c:v>1984</c:v>
                </c:pt>
                <c:pt idx="36">
                  <c:v>1985</c:v>
                </c:pt>
                <c:pt idx="37">
                  <c:v>1986</c:v>
                </c:pt>
                <c:pt idx="38">
                  <c:v>1987</c:v>
                </c:pt>
                <c:pt idx="39">
                  <c:v>1988</c:v>
                </c:pt>
                <c:pt idx="40">
                  <c:v>1989</c:v>
                </c:pt>
                <c:pt idx="41">
                  <c:v>1990</c:v>
                </c:pt>
                <c:pt idx="42">
                  <c:v>1991</c:v>
                </c:pt>
                <c:pt idx="43">
                  <c:v>1992</c:v>
                </c:pt>
                <c:pt idx="44">
                  <c:v>1993</c:v>
                </c:pt>
                <c:pt idx="45">
                  <c:v>1994</c:v>
                </c:pt>
                <c:pt idx="46">
                  <c:v>1995</c:v>
                </c:pt>
                <c:pt idx="47">
                  <c:v>1996</c:v>
                </c:pt>
                <c:pt idx="48">
                  <c:v>1997</c:v>
                </c:pt>
                <c:pt idx="49">
                  <c:v>1998</c:v>
                </c:pt>
                <c:pt idx="50">
                  <c:v>1999</c:v>
                </c:pt>
                <c:pt idx="51">
                  <c:v>2000</c:v>
                </c:pt>
                <c:pt idx="52">
                  <c:v>2001</c:v>
                </c:pt>
                <c:pt idx="53">
                  <c:v>2002</c:v>
                </c:pt>
                <c:pt idx="54">
                  <c:v>2003</c:v>
                </c:pt>
                <c:pt idx="55">
                  <c:v>2004</c:v>
                </c:pt>
                <c:pt idx="56">
                  <c:v>2005</c:v>
                </c:pt>
                <c:pt idx="57">
                  <c:v>2006</c:v>
                </c:pt>
                <c:pt idx="58">
                  <c:v>2007</c:v>
                </c:pt>
                <c:pt idx="59">
                  <c:v>2008</c:v>
                </c:pt>
                <c:pt idx="60">
                  <c:v>2009</c:v>
                </c:pt>
                <c:pt idx="61">
                  <c:v>2010</c:v>
                </c:pt>
                <c:pt idx="62">
                  <c:v>2011</c:v>
                </c:pt>
                <c:pt idx="63">
                  <c:v>2012</c:v>
                </c:pt>
                <c:pt idx="64">
                  <c:v>2013</c:v>
                </c:pt>
                <c:pt idx="65">
                  <c:v>2014</c:v>
                </c:pt>
                <c:pt idx="66">
                  <c:v>2015</c:v>
                </c:pt>
                <c:pt idx="67">
                  <c:v>2016</c:v>
                </c:pt>
                <c:pt idx="68">
                  <c:v>2017</c:v>
                </c:pt>
                <c:pt idx="69">
                  <c:v>2018</c:v>
                </c:pt>
                <c:pt idx="70">
                  <c:v>2019</c:v>
                </c:pt>
                <c:pt idx="71">
                  <c:v>2020</c:v>
                </c:pt>
                <c:pt idx="72">
                  <c:v>2021</c:v>
                </c:pt>
                <c:pt idx="73">
                  <c:v>2022</c:v>
                </c:pt>
                <c:pt idx="74">
                  <c:v>2023</c:v>
                </c:pt>
                <c:pt idx="75">
                  <c:v>2024</c:v>
                </c:pt>
                <c:pt idx="76">
                  <c:v>2025</c:v>
                </c:pt>
              </c:strCache>
            </c:strRef>
          </c:cat>
          <c:val>
            <c:numRef>
              <c:f>'Military Expenditure Trend'!$B$2:$B$79</c:f>
              <c:numCache>
                <c:formatCode>General</c:formatCode>
                <c:ptCount val="77"/>
                <c:pt idx="0">
                  <c:v>17086.075208099952</c:v>
                </c:pt>
                <c:pt idx="1">
                  <c:v>21277.736153188387</c:v>
                </c:pt>
                <c:pt idx="2">
                  <c:v>44830.6010415739</c:v>
                </c:pt>
                <c:pt idx="3">
                  <c:v>64510.963176740857</c:v>
                </c:pt>
                <c:pt idx="4">
                  <c:v>69941.797150749248</c:v>
                </c:pt>
                <c:pt idx="5">
                  <c:v>62517.427739383544</c:v>
                </c:pt>
                <c:pt idx="6">
                  <c:v>60644.101559101808</c:v>
                </c:pt>
                <c:pt idx="7">
                  <c:v>63897.758643037378</c:v>
                </c:pt>
                <c:pt idx="8">
                  <c:v>68987.68487510283</c:v>
                </c:pt>
                <c:pt idx="9">
                  <c:v>69763.963947004289</c:v>
                </c:pt>
                <c:pt idx="10">
                  <c:v>71979.831151112783</c:v>
                </c:pt>
                <c:pt idx="11">
                  <c:v>73005.784746845355</c:v>
                </c:pt>
                <c:pt idx="12">
                  <c:v>76909.99972067248</c:v>
                </c:pt>
                <c:pt idx="13">
                  <c:v>85660.550909324913</c:v>
                </c:pt>
                <c:pt idx="14">
                  <c:v>88752.450032758119</c:v>
                </c:pt>
                <c:pt idx="15">
                  <c:v>89860.102984714147</c:v>
                </c:pt>
                <c:pt idx="16">
                  <c:v>93662.451587648146</c:v>
                </c:pt>
                <c:pt idx="17">
                  <c:v>107748.77240771716</c:v>
                </c:pt>
                <c:pt idx="18">
                  <c:v>122453.25349304518</c:v>
                </c:pt>
                <c:pt idx="19">
                  <c:v>130329.40960685423</c:v>
                </c:pt>
                <c:pt idx="20">
                  <c:v>134667.1074298973</c:v>
                </c:pt>
                <c:pt idx="21">
                  <c:v>138076.90773256062</c:v>
                </c:pt>
                <c:pt idx="22">
                  <c:v>139334.43338479529</c:v>
                </c:pt>
                <c:pt idx="23">
                  <c:v>151389.08250481053</c:v>
                </c:pt>
                <c:pt idx="24">
                  <c:v>166556.16659292387</c:v>
                </c:pt>
                <c:pt idx="25">
                  <c:v>191972.26095374458</c:v>
                </c:pt>
                <c:pt idx="26">
                  <c:v>213040.46387412693</c:v>
                </c:pt>
                <c:pt idx="27">
                  <c:v>224378.07540646283</c:v>
                </c:pt>
                <c:pt idx="28">
                  <c:v>262042.85385006538</c:v>
                </c:pt>
                <c:pt idx="29">
                  <c:v>288640.12070643716</c:v>
                </c:pt>
                <c:pt idx="30">
                  <c:v>318982.03466425219</c:v>
                </c:pt>
                <c:pt idx="31">
                  <c:v>365992.62179352593</c:v>
                </c:pt>
                <c:pt idx="32">
                  <c:v>403765.49201033538</c:v>
                </c:pt>
                <c:pt idx="33">
                  <c:v>447929.12311984424</c:v>
                </c:pt>
                <c:pt idx="34">
                  <c:v>441718.51310733217</c:v>
                </c:pt>
                <c:pt idx="35">
                  <c:v>459637.02432913746</c:v>
                </c:pt>
                <c:pt idx="36">
                  <c:v>486465.82952744124</c:v>
                </c:pt>
                <c:pt idx="37">
                  <c:v>531398.98497776384</c:v>
                </c:pt>
                <c:pt idx="38">
                  <c:v>824865.34028266033</c:v>
                </c:pt>
                <c:pt idx="39">
                  <c:v>884368.27125982638</c:v>
                </c:pt>
                <c:pt idx="40">
                  <c:v>876780.34435152332</c:v>
                </c:pt>
                <c:pt idx="41">
                  <c:v>933972.44338757347</c:v>
                </c:pt>
                <c:pt idx="42">
                  <c:v>697594.85907092341</c:v>
                </c:pt>
                <c:pt idx="43">
                  <c:v>728750.10412170656</c:v>
                </c:pt>
                <c:pt idx="44">
                  <c:v>697411.47483140649</c:v>
                </c:pt>
                <c:pt idx="45">
                  <c:v>707393.38962431974</c:v>
                </c:pt>
                <c:pt idx="46">
                  <c:v>725822.55890306376</c:v>
                </c:pt>
                <c:pt idx="47">
                  <c:v>723938.25157651934</c:v>
                </c:pt>
                <c:pt idx="48">
                  <c:v>724253.84710281028</c:v>
                </c:pt>
                <c:pt idx="49">
                  <c:v>706430.49654351932</c:v>
                </c:pt>
                <c:pt idx="50">
                  <c:v>720023.17151994305</c:v>
                </c:pt>
                <c:pt idx="51">
                  <c:v>742254.8902902496</c:v>
                </c:pt>
                <c:pt idx="52">
                  <c:v>754670.67750829167</c:v>
                </c:pt>
                <c:pt idx="53">
                  <c:v>815471.26877386053</c:v>
                </c:pt>
                <c:pt idx="54">
                  <c:v>952170.55695091712</c:v>
                </c:pt>
                <c:pt idx="55">
                  <c:v>1075386.7156003879</c:v>
                </c:pt>
                <c:pt idx="56">
                  <c:v>1164421.8179805826</c:v>
                </c:pt>
                <c:pt idx="57">
                  <c:v>1205570.9846294546</c:v>
                </c:pt>
                <c:pt idx="58">
                  <c:v>1336880.8310995293</c:v>
                </c:pt>
                <c:pt idx="59">
                  <c:v>1509370.6295452036</c:v>
                </c:pt>
                <c:pt idx="60">
                  <c:v>1564412.9942922036</c:v>
                </c:pt>
                <c:pt idx="61">
                  <c:v>1648817.4234497873</c:v>
                </c:pt>
                <c:pt idx="62">
                  <c:v>1750030.6666341408</c:v>
                </c:pt>
                <c:pt idx="63">
                  <c:v>1759445.4377349</c:v>
                </c:pt>
                <c:pt idx="64">
                  <c:v>1756945.9206947207</c:v>
                </c:pt>
                <c:pt idx="65">
                  <c:v>1757307.2527580371</c:v>
                </c:pt>
                <c:pt idx="66">
                  <c:v>1652427.335337186</c:v>
                </c:pt>
                <c:pt idx="67">
                  <c:v>1646579.6307316683</c:v>
                </c:pt>
                <c:pt idx="68">
                  <c:v>1715398.5065530417</c:v>
                </c:pt>
                <c:pt idx="69">
                  <c:v>1804366.3964994394</c:v>
                </c:pt>
                <c:pt idx="70">
                  <c:v>1862046.8404228932</c:v>
                </c:pt>
                <c:pt idx="71">
                  <c:v>1939926.2299480932</c:v>
                </c:pt>
                <c:pt idx="72">
                  <c:v>2076553.8442300421</c:v>
                </c:pt>
                <c:pt idx="73">
                  <c:v>2210347.7684784844</c:v>
                </c:pt>
                <c:pt idx="74">
                  <c:v>2391618.0978054586</c:v>
                </c:pt>
                <c:pt idx="75">
                  <c:v>2668199.1281516086</c:v>
                </c:pt>
                <c:pt idx="76">
                  <c:v>2857214.8750026976</c:v>
                </c:pt>
              </c:numCache>
            </c:numRef>
          </c:val>
          <c:smooth val="0"/>
          <c:extLst>
            <c:ext xmlns:c16="http://schemas.microsoft.com/office/drawing/2014/chart" uri="{C3380CC4-5D6E-409C-BE32-E72D297353CC}">
              <c16:uniqueId val="{00000000-844A-4F2C-9C9C-5D73109772A6}"/>
            </c:ext>
          </c:extLst>
        </c:ser>
        <c:dLbls>
          <c:showLegendKey val="0"/>
          <c:showVal val="0"/>
          <c:showCatName val="0"/>
          <c:showSerName val="0"/>
          <c:showPercent val="0"/>
          <c:showBubbleSize val="0"/>
        </c:dLbls>
        <c:smooth val="0"/>
        <c:axId val="1273870159"/>
        <c:axId val="269664783"/>
      </c:lineChart>
      <c:catAx>
        <c:axId val="12738701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664783"/>
        <c:crosses val="autoZero"/>
        <c:auto val="1"/>
        <c:lblAlgn val="ctr"/>
        <c:lblOffset val="100"/>
        <c:noMultiLvlLbl val="0"/>
      </c:catAx>
      <c:valAx>
        <c:axId val="269664783"/>
        <c:scaling>
          <c:orientation val="minMax"/>
        </c:scaling>
        <c:delete val="0"/>
        <c:axPos val="l"/>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38701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[Defence_Analytics_Workbook.xlsx]Regional Military Expenditure!PivotTable10</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Military Expenditure by Region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s>
    <c:plotArea>
      <c:layout/>
      <c:barChart>
        <c:barDir val="bar"/>
        <c:grouping val="clustered"/>
        <c:varyColors val="0"/>
        <c:ser>
          <c:idx val="0"/>
          <c:order val="0"/>
          <c:tx>
            <c:strRef>
              <c:f>'Regional Military Expenditure'!$B$1</c:f>
              <c:strCache>
                <c:ptCount val="1"/>
                <c:pt idx="0">
                  <c:v>Total</c:v>
                </c:pt>
              </c:strCache>
            </c:strRef>
          </c:tx>
          <c:spPr>
            <a:solidFill>
              <a:schemeClr val="accent1"/>
            </a:solidFill>
            <a:ln>
              <a:noFill/>
            </a:ln>
            <a:effectLst/>
          </c:spPr>
          <c:invertIfNegative val="0"/>
          <c:cat>
            <c:strRef>
              <c:f>'Regional Military Expenditure'!$A$2:$A$9</c:f>
              <c:strCache>
                <c:ptCount val="7"/>
                <c:pt idx="0">
                  <c:v>North America</c:v>
                </c:pt>
                <c:pt idx="1">
                  <c:v>Europe</c:v>
                </c:pt>
                <c:pt idx="2">
                  <c:v>Asia</c:v>
                </c:pt>
                <c:pt idx="3">
                  <c:v>South America</c:v>
                </c:pt>
                <c:pt idx="4">
                  <c:v>Other</c:v>
                </c:pt>
                <c:pt idx="5">
                  <c:v>Africa</c:v>
                </c:pt>
                <c:pt idx="6">
                  <c:v>Oceania</c:v>
                </c:pt>
              </c:strCache>
            </c:strRef>
          </c:cat>
          <c:val>
            <c:numRef>
              <c:f>'Regional Military Expenditure'!$B$2:$B$9</c:f>
              <c:numCache>
                <c:formatCode>General</c:formatCode>
                <c:ptCount val="7"/>
                <c:pt idx="0">
                  <c:v>25762854.72317934</c:v>
                </c:pt>
                <c:pt idx="1">
                  <c:v>15310279.19714503</c:v>
                </c:pt>
                <c:pt idx="2">
                  <c:v>13415086.560725683</c:v>
                </c:pt>
                <c:pt idx="3">
                  <c:v>1618722.6400420661</c:v>
                </c:pt>
                <c:pt idx="4">
                  <c:v>1442669.472869009</c:v>
                </c:pt>
                <c:pt idx="5">
                  <c:v>1059582.2636495773</c:v>
                </c:pt>
                <c:pt idx="6">
                  <c:v>810054.22816809767</c:v>
                </c:pt>
              </c:numCache>
            </c:numRef>
          </c:val>
          <c:extLst>
            <c:ext xmlns:c16="http://schemas.microsoft.com/office/drawing/2014/chart" uri="{C3380CC4-5D6E-409C-BE32-E72D297353CC}">
              <c16:uniqueId val="{00000000-F6C0-4FE7-8806-7CF59BD80C4E}"/>
            </c:ext>
          </c:extLst>
        </c:ser>
        <c:dLbls>
          <c:showLegendKey val="0"/>
          <c:showVal val="0"/>
          <c:showCatName val="0"/>
          <c:showSerName val="0"/>
          <c:showPercent val="0"/>
          <c:showBubbleSize val="0"/>
        </c:dLbls>
        <c:gapWidth val="182"/>
        <c:axId val="1275462575"/>
        <c:axId val="269672687"/>
      </c:barChart>
      <c:catAx>
        <c:axId val="1275462575"/>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9672687"/>
        <c:crosses val="autoZero"/>
        <c:auto val="1"/>
        <c:lblAlgn val="ctr"/>
        <c:lblOffset val="100"/>
        <c:noMultiLvlLbl val="0"/>
      </c:catAx>
      <c:valAx>
        <c:axId val="269672687"/>
        <c:scaling>
          <c:orientation val="minMax"/>
        </c:scaling>
        <c:delete val="0"/>
        <c:axPos val="t"/>
        <c:majorGridlines>
          <c:spPr>
            <a:ln w="9525" cap="flat" cmpd="sng" algn="ctr">
              <a:solidFill>
                <a:schemeClr val="tx1">
                  <a:lumMod val="15000"/>
                  <a:lumOff val="85000"/>
                </a:schemeClr>
              </a:solidFill>
              <a:round/>
            </a:ln>
            <a:effectLst/>
          </c:spPr>
        </c:majorGridlines>
        <c:numFmt formatCode="0.00,,&quot;M&quot;"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54625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1</xdr:col>
      <xdr:colOff>0</xdr:colOff>
      <xdr:row>9</xdr:row>
      <xdr:rowOff>0</xdr:rowOff>
    </xdr:from>
    <xdr:to>
      <xdr:col>6</xdr:col>
      <xdr:colOff>603250</xdr:colOff>
      <xdr:row>23</xdr:row>
      <xdr:rowOff>170597</xdr:rowOff>
    </xdr:to>
    <xdr:graphicFrame macro="">
      <xdr:nvGraphicFramePr>
        <xdr:cNvPr id="4" name="Chart 3">
          <a:extLst>
            <a:ext uri="{FF2B5EF4-FFF2-40B4-BE49-F238E27FC236}">
              <a16:creationId xmlns:a16="http://schemas.microsoft.com/office/drawing/2014/main" id="{48EDB157-417C-4C90-9A07-6E973B5416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524668</xdr:colOff>
      <xdr:row>9</xdr:row>
      <xdr:rowOff>4326</xdr:rowOff>
    </xdr:from>
    <xdr:to>
      <xdr:col>13</xdr:col>
      <xdr:colOff>520526</xdr:colOff>
      <xdr:row>23</xdr:row>
      <xdr:rowOff>151642</xdr:rowOff>
    </xdr:to>
    <xdr:graphicFrame macro="">
      <xdr:nvGraphicFramePr>
        <xdr:cNvPr id="5" name="Chart 4">
          <a:extLst>
            <a:ext uri="{FF2B5EF4-FFF2-40B4-BE49-F238E27FC236}">
              <a16:creationId xmlns:a16="http://schemas.microsoft.com/office/drawing/2014/main" id="{CC7CDA82-782A-4199-B4AA-172F38FEA03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492835</xdr:colOff>
      <xdr:row>26</xdr:row>
      <xdr:rowOff>9477</xdr:rowOff>
    </xdr:from>
    <xdr:to>
      <xdr:col>8</xdr:col>
      <xdr:colOff>426492</xdr:colOff>
      <xdr:row>42</xdr:row>
      <xdr:rowOff>9477</xdr:rowOff>
    </xdr:to>
    <xdr:graphicFrame macro="">
      <xdr:nvGraphicFramePr>
        <xdr:cNvPr id="6" name="Chart 5">
          <a:extLst>
            <a:ext uri="{FF2B5EF4-FFF2-40B4-BE49-F238E27FC236}">
              <a16:creationId xmlns:a16="http://schemas.microsoft.com/office/drawing/2014/main" id="{CAA7005D-7908-4412-BF40-2300AD97E4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9</xdr:row>
      <xdr:rowOff>37910</xdr:rowOff>
    </xdr:from>
    <xdr:to>
      <xdr:col>18</xdr:col>
      <xdr:colOff>6626</xdr:colOff>
      <xdr:row>24</xdr:row>
      <xdr:rowOff>132687</xdr:rowOff>
    </xdr:to>
    <mc:AlternateContent xmlns:mc="http://schemas.openxmlformats.org/markup-compatibility/2006">
      <mc:Choice xmlns:a14="http://schemas.microsoft.com/office/drawing/2010/main" Requires="a14">
        <xdr:graphicFrame macro="">
          <xdr:nvGraphicFramePr>
            <xdr:cNvPr id="10" name="Year">
              <a:extLst>
                <a:ext uri="{FF2B5EF4-FFF2-40B4-BE49-F238E27FC236}">
                  <a16:creationId xmlns:a16="http://schemas.microsoft.com/office/drawing/2014/main" id="{6242D89D-DA57-47D6-9EA0-E85A9392B5C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9098507" y="1677537"/>
              <a:ext cx="1826328" cy="279589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236942</xdr:colOff>
      <xdr:row>26</xdr:row>
      <xdr:rowOff>-1</xdr:rowOff>
    </xdr:from>
    <xdr:to>
      <xdr:col>18</xdr:col>
      <xdr:colOff>9478</xdr:colOff>
      <xdr:row>41</xdr:row>
      <xdr:rowOff>161120</xdr:rowOff>
    </xdr:to>
    <xdr:graphicFrame macro="">
      <xdr:nvGraphicFramePr>
        <xdr:cNvPr id="12" name="Chart 11">
          <a:extLst>
            <a:ext uri="{FF2B5EF4-FFF2-40B4-BE49-F238E27FC236}">
              <a16:creationId xmlns:a16="http://schemas.microsoft.com/office/drawing/2014/main" id="{F1F42B41-0F03-4EBF-96AA-5E3A9387007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11</xdr:col>
      <xdr:colOff>488950</xdr:colOff>
      <xdr:row>13</xdr:row>
      <xdr:rowOff>177800</xdr:rowOff>
    </xdr:to>
    <xdr:graphicFrame macro="">
      <xdr:nvGraphicFramePr>
        <xdr:cNvPr id="3" name="Chart 2">
          <a:extLst>
            <a:ext uri="{FF2B5EF4-FFF2-40B4-BE49-F238E27FC236}">
              <a16:creationId xmlns:a16="http://schemas.microsoft.com/office/drawing/2014/main" id="{A20367DD-5777-417E-9DAF-A32C027ED6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2</xdr:row>
      <xdr:rowOff>0</xdr:rowOff>
    </xdr:from>
    <xdr:to>
      <xdr:col>14</xdr:col>
      <xdr:colOff>583096</xdr:colOff>
      <xdr:row>18</xdr:row>
      <xdr:rowOff>35339</xdr:rowOff>
    </xdr:to>
    <xdr:graphicFrame macro="">
      <xdr:nvGraphicFramePr>
        <xdr:cNvPr id="3" name="Chart 2">
          <a:extLst>
            <a:ext uri="{FF2B5EF4-FFF2-40B4-BE49-F238E27FC236}">
              <a16:creationId xmlns:a16="http://schemas.microsoft.com/office/drawing/2014/main" id="{F3E2C1F0-2B50-40E1-828B-7D512B8B3F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1</xdr:row>
      <xdr:rowOff>0</xdr:rowOff>
    </xdr:from>
    <xdr:to>
      <xdr:col>10</xdr:col>
      <xdr:colOff>603250</xdr:colOff>
      <xdr:row>15</xdr:row>
      <xdr:rowOff>49972</xdr:rowOff>
    </xdr:to>
    <xdr:graphicFrame macro="">
      <xdr:nvGraphicFramePr>
        <xdr:cNvPr id="3" name="Chart 2">
          <a:extLst>
            <a:ext uri="{FF2B5EF4-FFF2-40B4-BE49-F238E27FC236}">
              <a16:creationId xmlns:a16="http://schemas.microsoft.com/office/drawing/2014/main" id="{1686E012-BA21-4408-8AD3-7F4EAA4BE4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8.084783564816" backgroundQuery="1" createdVersion="6" refreshedVersion="6" minRefreshableVersion="3" recordCount="0" supportSubquery="1" supportAdvancedDrill="1" xr:uid="{2E489268-8551-4730-ADB5-200B716EEB98}">
  <cacheSource type="external" connectionId="4"/>
  <cacheFields count="3">
    <cacheField name="[Dim_Year].[Year].[Year]" caption="Year" numFmtId="0" hierarchy="4" level="1">
      <sharedItems containsSemiMixedTypes="0" containsString="0" containsNumber="1" containsInteger="1" minValue="1949" maxValue="2025" count="77">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Dim_Year].[Year].&amp;[1949]"/>
            <x15:cachedUniqueName index="1" name="[Dim_Year].[Year].&amp;[1950]"/>
            <x15:cachedUniqueName index="2" name="[Dim_Year].[Year].&amp;[1951]"/>
            <x15:cachedUniqueName index="3" name="[Dim_Year].[Year].&amp;[1952]"/>
            <x15:cachedUniqueName index="4" name="[Dim_Year].[Year].&amp;[1953]"/>
            <x15:cachedUniqueName index="5" name="[Dim_Year].[Year].&amp;[1954]"/>
            <x15:cachedUniqueName index="6" name="[Dim_Year].[Year].&amp;[1955]"/>
            <x15:cachedUniqueName index="7" name="[Dim_Year].[Year].&amp;[1956]"/>
            <x15:cachedUniqueName index="8" name="[Dim_Year].[Year].&amp;[1957]"/>
            <x15:cachedUniqueName index="9" name="[Dim_Year].[Year].&amp;[1958]"/>
            <x15:cachedUniqueName index="10" name="[Dim_Year].[Year].&amp;[1959]"/>
            <x15:cachedUniqueName index="11" name="[Dim_Year].[Year].&amp;[1960]"/>
            <x15:cachedUniqueName index="12" name="[Dim_Year].[Year].&amp;[1961]"/>
            <x15:cachedUniqueName index="13" name="[Dim_Year].[Year].&amp;[1962]"/>
            <x15:cachedUniqueName index="14" name="[Dim_Year].[Year].&amp;[1963]"/>
            <x15:cachedUniqueName index="15" name="[Dim_Year].[Year].&amp;[1964]"/>
            <x15:cachedUniqueName index="16" name="[Dim_Year].[Year].&amp;[1965]"/>
            <x15:cachedUniqueName index="17" name="[Dim_Year].[Year].&amp;[1966]"/>
            <x15:cachedUniqueName index="18" name="[Dim_Year].[Year].&amp;[1967]"/>
            <x15:cachedUniqueName index="19" name="[Dim_Year].[Year].&amp;[1968]"/>
            <x15:cachedUniqueName index="20" name="[Dim_Year].[Year].&amp;[1969]"/>
            <x15:cachedUniqueName index="21" name="[Dim_Year].[Year].&amp;[1970]"/>
            <x15:cachedUniqueName index="22" name="[Dim_Year].[Year].&amp;[1971]"/>
            <x15:cachedUniqueName index="23" name="[Dim_Year].[Year].&amp;[1972]"/>
            <x15:cachedUniqueName index="24" name="[Dim_Year].[Year].&amp;[1973]"/>
            <x15:cachedUniqueName index="25" name="[Dim_Year].[Year].&amp;[1974]"/>
            <x15:cachedUniqueName index="26" name="[Dim_Year].[Year].&amp;[1975]"/>
            <x15:cachedUniqueName index="27" name="[Dim_Year].[Year].&amp;[1976]"/>
            <x15:cachedUniqueName index="28" name="[Dim_Year].[Year].&amp;[1977]"/>
            <x15:cachedUniqueName index="29" name="[Dim_Year].[Year].&amp;[1978]"/>
            <x15:cachedUniqueName index="30" name="[Dim_Year].[Year].&amp;[1979]"/>
            <x15:cachedUniqueName index="31" name="[Dim_Year].[Year].&amp;[1980]"/>
            <x15:cachedUniqueName index="32" name="[Dim_Year].[Year].&amp;[1981]"/>
            <x15:cachedUniqueName index="33" name="[Dim_Year].[Year].&amp;[1982]"/>
            <x15:cachedUniqueName index="34" name="[Dim_Year].[Year].&amp;[1983]"/>
            <x15:cachedUniqueName index="35" name="[Dim_Year].[Year].&amp;[1984]"/>
            <x15:cachedUniqueName index="36" name="[Dim_Year].[Year].&amp;[1985]"/>
            <x15:cachedUniqueName index="37" name="[Dim_Year].[Year].&amp;[1986]"/>
            <x15:cachedUniqueName index="38" name="[Dim_Year].[Year].&amp;[1987]"/>
            <x15:cachedUniqueName index="39" name="[Dim_Year].[Year].&amp;[1988]"/>
            <x15:cachedUniqueName index="40" name="[Dim_Year].[Year].&amp;[1989]"/>
            <x15:cachedUniqueName index="41" name="[Dim_Year].[Year].&amp;[1990]"/>
            <x15:cachedUniqueName index="42" name="[Dim_Year].[Year].&amp;[1991]"/>
            <x15:cachedUniqueName index="43" name="[Dim_Year].[Year].&amp;[1992]"/>
            <x15:cachedUniqueName index="44" name="[Dim_Year].[Year].&amp;[1993]"/>
            <x15:cachedUniqueName index="45" name="[Dim_Year].[Year].&amp;[1994]"/>
            <x15:cachedUniqueName index="46" name="[Dim_Year].[Year].&amp;[1995]"/>
            <x15:cachedUniqueName index="47" name="[Dim_Year].[Year].&amp;[1996]"/>
            <x15:cachedUniqueName index="48" name="[Dim_Year].[Year].&amp;[1997]"/>
            <x15:cachedUniqueName index="49" name="[Dim_Year].[Year].&amp;[1998]"/>
            <x15:cachedUniqueName index="50" name="[Dim_Year].[Year].&amp;[1999]"/>
            <x15:cachedUniqueName index="51" name="[Dim_Year].[Year].&amp;[2000]"/>
            <x15:cachedUniqueName index="52" name="[Dim_Year].[Year].&amp;[2001]"/>
            <x15:cachedUniqueName index="53" name="[Dim_Year].[Year].&amp;[2002]"/>
            <x15:cachedUniqueName index="54" name="[Dim_Year].[Year].&amp;[2003]"/>
            <x15:cachedUniqueName index="55" name="[Dim_Year].[Year].&amp;[2004]"/>
            <x15:cachedUniqueName index="56" name="[Dim_Year].[Year].&amp;[2005]"/>
            <x15:cachedUniqueName index="57" name="[Dim_Year].[Year].&amp;[2006]"/>
            <x15:cachedUniqueName index="58" name="[Dim_Year].[Year].&amp;[2007]"/>
            <x15:cachedUniqueName index="59" name="[Dim_Year].[Year].&amp;[2008]"/>
            <x15:cachedUniqueName index="60" name="[Dim_Year].[Year].&amp;[2009]"/>
            <x15:cachedUniqueName index="61" name="[Dim_Year].[Year].&amp;[2010]"/>
            <x15:cachedUniqueName index="62" name="[Dim_Year].[Year].&amp;[2011]"/>
            <x15:cachedUniqueName index="63" name="[Dim_Year].[Year].&amp;[2012]"/>
            <x15:cachedUniqueName index="64" name="[Dim_Year].[Year].&amp;[2013]"/>
            <x15:cachedUniqueName index="65" name="[Dim_Year].[Year].&amp;[2014]"/>
            <x15:cachedUniqueName index="66" name="[Dim_Year].[Year].&amp;[2015]"/>
            <x15:cachedUniqueName index="67" name="[Dim_Year].[Year].&amp;[2016]"/>
            <x15:cachedUniqueName index="68" name="[Dim_Year].[Year].&amp;[2017]"/>
            <x15:cachedUniqueName index="69" name="[Dim_Year].[Year].&amp;[2018]"/>
            <x15:cachedUniqueName index="70" name="[Dim_Year].[Year].&amp;[2019]"/>
            <x15:cachedUniqueName index="71" name="[Dim_Year].[Year].&amp;[2020]"/>
            <x15:cachedUniqueName index="72" name="[Dim_Year].[Year].&amp;[2021]"/>
            <x15:cachedUniqueName index="73" name="[Dim_Year].[Year].&amp;[2022]"/>
            <x15:cachedUniqueName index="74" name="[Dim_Year].[Year].&amp;[2023]"/>
            <x15:cachedUniqueName index="75" name="[Dim_Year].[Year].&amp;[2024]"/>
            <x15:cachedUniqueName index="76" name="[Dim_Year].[Year].&amp;[2025]"/>
          </x15:cachedUniqueNames>
        </ext>
      </extLst>
    </cacheField>
    <cacheField name="[Measures].[Sum of Military Expenditure]" caption="Sum of Military Expenditure" numFmtId="0" hierarchy="12" level="32767"/>
    <cacheField name="Dummy0" numFmtId="0" hierarchy="14" level="32767">
      <extLst>
        <ext xmlns:x14="http://schemas.microsoft.com/office/spreadsheetml/2009/9/main" uri="{63CAB8AC-B538-458d-9737-405883B0398D}">
          <x14:cacheField ignore="1"/>
        </ext>
      </extLst>
    </cacheField>
  </cacheFields>
  <cacheHierarchies count="15">
    <cacheHierarchy uniqueName="[Dim_Country].[CountryKey]" caption="CountryKey" attribute="1" defaultMemberUniqueName="[Dim_Country].[CountryKey].[All]" allUniqueName="[Dim_Country].[CountryKey].[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Year].[Index]" caption="Index" attribute="1" defaultMemberUniqueName="[Dim_Year].[Index].[All]" allUniqueName="[Dim_Year].[Index].[All]" dimensionUniqueName="[Dim_Year]" displayFolder="" count="0" memberValueDatatype="20" unbalanced="0"/>
    <cacheHierarchy uniqueName="[Dim_Year].[Year]" caption="Year" attribute="1" defaultMemberUniqueName="[Dim_Year].[Year].[All]" allUniqueName="[Dim_Year].[Year].[All]" dimensionUniqueName="[Dim_Year]" displayFolder="" count="2" memberValueDatatype="20" unbalanced="0">
      <fieldsUsage count="2">
        <fieldUsage x="-1"/>
        <fieldUsage x="0"/>
      </fieldsUsage>
    </cacheHierarchy>
    <cacheHierarchy uniqueName="[Fact_Military_Expenditure].[Country]" caption="Country" attribute="1" defaultMemberUniqueName="[Fact_Military_Expenditure].[Country].[All]" allUniqueName="[Fact_Military_Expenditure].[Country].[All]" dimensionUniqueName="[Fact_Military_Expenditure]" displayFolder="" count="0" memberValueDatatype="130" unbalanced="0"/>
    <cacheHierarchy uniqueName="[Fact_Military_Expenditure].[Year]" caption="Year" attribute="1" defaultMemberUniqueName="[Fact_Military_Expenditure].[Year].[All]" allUniqueName="[Fact_Military_Expenditure].[Year].[All]" dimensionUniqueName="[Fact_Military_Expenditure]" displayFolder="" count="0" memberValueDatatype="20" unbalanced="0"/>
    <cacheHierarchy uniqueName="[Fact_Military_Expenditure].[Military Expenditure]" caption="Military Expenditure" attribute="1" defaultMemberUniqueName="[Fact_Military_Expenditure].[Military Expenditure].[All]" allUniqueName="[Fact_Military_Expenditure].[Military Expenditure].[All]" dimensionUniqueName="[Fact_Military_Expenditure]" displayFolder="" count="0" memberValueDatatype="5" unbalanced="0"/>
    <cacheHierarchy uniqueName="[Measures].[__XL_Count Fact_Military_Expenditure]" caption="__XL_Count Fact_Military_Expenditure" measure="1" displayFolder="" measureGroup="Fact_Military_Expenditure" count="0" hidden="1"/>
    <cacheHierarchy uniqueName="[Measures].[__XL_Count Dim_Country]" caption="__XL_Count Dim_Country" measure="1" displayFolder="" measureGroup="Dim_Country" count="0" hidden="1"/>
    <cacheHierarchy uniqueName="[Measures].[__XL_Count Dim_Year]" caption="__XL_Count Dim_Year" measure="1" displayFolder="" measureGroup="Dim_Year" count="0" hidden="1"/>
    <cacheHierarchy uniqueName="[Measures].[__No measures defined]" caption="__No measures defined" measure="1" displayFolder="" count="0" hidden="1"/>
    <cacheHierarchy uniqueName="[Measures].[Sum of Military Expenditure]" caption="Sum of Military Expenditure" measure="1" displayFolder="" measureGroup="Fact_Military_Expenditur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Year]" caption="Sum of Year" measure="1" displayFolder="" measureGroup="Dim_Year" count="0" hidden="1">
      <extLst>
        <ext xmlns:x15="http://schemas.microsoft.com/office/spreadsheetml/2010/11/main" uri="{B97F6D7D-B522-45F9-BDA1-12C45D357490}">
          <x15:cacheHierarchy aggregatedColumn="4"/>
        </ext>
      </extLst>
    </cacheHierarchy>
    <cacheHierarchy uniqueName="Dummy0" caption="CountryKey" measure="1" count="0">
      <extLst>
        <ext xmlns:x14="http://schemas.microsoft.com/office/spreadsheetml/2009/9/main" uri="{8CF416AD-EC4C-4aba-99F5-12A058AE0983}">
          <x14:cacheHierarchy ignore="1"/>
        </ext>
      </extLst>
    </cacheHierarchy>
  </cacheHierarchies>
  <kpis count="0"/>
  <dimensions count="4">
    <dimension name="Dim_Country" uniqueName="[Dim_Country]" caption="Dim_Country"/>
    <dimension name="Dim_Year" uniqueName="[Dim_Year]" caption="Dim_Year"/>
    <dimension name="Fact_Military_Expenditure" uniqueName="[Fact_Military_Expenditure]" caption="Fact_Military_Expenditure"/>
    <dimension measure="1" name="Measures" uniqueName="[Measures]" caption="Measures"/>
  </dimensions>
  <measureGroups count="3">
    <measureGroup name="Dim_Country" caption="Dim_Country"/>
    <measureGroup name="Dim_Year" caption="Dim_Year"/>
    <measureGroup name="Fact_Military_Expenditure" caption="Fact_Military_Expenditur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8.110347106478" backgroundQuery="1" createdVersion="6" refreshedVersion="6" minRefreshableVersion="3" recordCount="0" supportSubquery="1" supportAdvancedDrill="1" xr:uid="{0C7EBB0A-2D03-44BE-9586-A6A2D71181B4}">
  <cacheSource type="external" connectionId="4"/>
  <cacheFields count="2">
    <cacheField name="[Dim_Year].[Year].[Year]" caption="Year" numFmtId="0" hierarchy="4" level="1">
      <sharedItems containsSemiMixedTypes="0" containsString="0" containsNumber="1" containsInteger="1" minValue="1949" maxValue="2025" count="77">
        <n v="1949"/>
        <n v="1950"/>
        <n v="1951"/>
        <n v="1952"/>
        <n v="1953"/>
        <n v="1954"/>
        <n v="1955"/>
        <n v="1956"/>
        <n v="1957"/>
        <n v="1958"/>
        <n v="1959"/>
        <n v="1960"/>
        <n v="1961"/>
        <n v="1962"/>
        <n v="1963"/>
        <n v="1964"/>
        <n v="1965"/>
        <n v="1966"/>
        <n v="1967"/>
        <n v="1968"/>
        <n v="1969"/>
        <n v="1970"/>
        <n v="1971"/>
        <n v="1972"/>
        <n v="1973"/>
        <n v="1974"/>
        <n v="1975"/>
        <n v="1976"/>
        <n v="1977"/>
        <n v="1978"/>
        <n v="1979"/>
        <n v="1980"/>
        <n v="1981"/>
        <n v="1982"/>
        <n v="1983"/>
        <n v="1984"/>
        <n v="1985"/>
        <n v="1986"/>
        <n v="1987"/>
        <n v="1988"/>
        <n v="1989"/>
        <n v="1990"/>
        <n v="1991"/>
        <n v="1992"/>
        <n v="1993"/>
        <n v="1994"/>
        <n v="1995"/>
        <n v="1996"/>
        <n v="1997"/>
        <n v="1998"/>
        <n v="1999"/>
        <n v="2000"/>
        <n v="2001"/>
        <n v="2002"/>
        <n v="2003"/>
        <n v="2004"/>
        <n v="2005"/>
        <n v="2006"/>
        <n v="2007"/>
        <n v="2008"/>
        <n v="2009"/>
        <n v="2010"/>
        <n v="2011"/>
        <n v="2012"/>
        <n v="2013"/>
        <n v="2014"/>
        <n v="2015"/>
        <n v="2016"/>
        <n v="2017"/>
        <n v="2018"/>
        <n v="2019"/>
        <n v="2020"/>
        <n v="2021"/>
        <n v="2022"/>
        <n v="2023"/>
        <n v="2024"/>
        <n v="2025"/>
      </sharedItems>
      <extLst>
        <ext xmlns:x15="http://schemas.microsoft.com/office/spreadsheetml/2010/11/main" uri="{4F2E5C28-24EA-4eb8-9CBF-B6C8F9C3D259}">
          <x15:cachedUniqueNames>
            <x15:cachedUniqueName index="0" name="[Dim_Year].[Year].&amp;[1949]"/>
            <x15:cachedUniqueName index="1" name="[Dim_Year].[Year].&amp;[1950]"/>
            <x15:cachedUniqueName index="2" name="[Dim_Year].[Year].&amp;[1951]"/>
            <x15:cachedUniqueName index="3" name="[Dim_Year].[Year].&amp;[1952]"/>
            <x15:cachedUniqueName index="4" name="[Dim_Year].[Year].&amp;[1953]"/>
            <x15:cachedUniqueName index="5" name="[Dim_Year].[Year].&amp;[1954]"/>
            <x15:cachedUniqueName index="6" name="[Dim_Year].[Year].&amp;[1955]"/>
            <x15:cachedUniqueName index="7" name="[Dim_Year].[Year].&amp;[1956]"/>
            <x15:cachedUniqueName index="8" name="[Dim_Year].[Year].&amp;[1957]"/>
            <x15:cachedUniqueName index="9" name="[Dim_Year].[Year].&amp;[1958]"/>
            <x15:cachedUniqueName index="10" name="[Dim_Year].[Year].&amp;[1959]"/>
            <x15:cachedUniqueName index="11" name="[Dim_Year].[Year].&amp;[1960]"/>
            <x15:cachedUniqueName index="12" name="[Dim_Year].[Year].&amp;[1961]"/>
            <x15:cachedUniqueName index="13" name="[Dim_Year].[Year].&amp;[1962]"/>
            <x15:cachedUniqueName index="14" name="[Dim_Year].[Year].&amp;[1963]"/>
            <x15:cachedUniqueName index="15" name="[Dim_Year].[Year].&amp;[1964]"/>
            <x15:cachedUniqueName index="16" name="[Dim_Year].[Year].&amp;[1965]"/>
            <x15:cachedUniqueName index="17" name="[Dim_Year].[Year].&amp;[1966]"/>
            <x15:cachedUniqueName index="18" name="[Dim_Year].[Year].&amp;[1967]"/>
            <x15:cachedUniqueName index="19" name="[Dim_Year].[Year].&amp;[1968]"/>
            <x15:cachedUniqueName index="20" name="[Dim_Year].[Year].&amp;[1969]"/>
            <x15:cachedUniqueName index="21" name="[Dim_Year].[Year].&amp;[1970]"/>
            <x15:cachedUniqueName index="22" name="[Dim_Year].[Year].&amp;[1971]"/>
            <x15:cachedUniqueName index="23" name="[Dim_Year].[Year].&amp;[1972]"/>
            <x15:cachedUniqueName index="24" name="[Dim_Year].[Year].&amp;[1973]"/>
            <x15:cachedUniqueName index="25" name="[Dim_Year].[Year].&amp;[1974]"/>
            <x15:cachedUniqueName index="26" name="[Dim_Year].[Year].&amp;[1975]"/>
            <x15:cachedUniqueName index="27" name="[Dim_Year].[Year].&amp;[1976]"/>
            <x15:cachedUniqueName index="28" name="[Dim_Year].[Year].&amp;[1977]"/>
            <x15:cachedUniqueName index="29" name="[Dim_Year].[Year].&amp;[1978]"/>
            <x15:cachedUniqueName index="30" name="[Dim_Year].[Year].&amp;[1979]"/>
            <x15:cachedUniqueName index="31" name="[Dim_Year].[Year].&amp;[1980]"/>
            <x15:cachedUniqueName index="32" name="[Dim_Year].[Year].&amp;[1981]"/>
            <x15:cachedUniqueName index="33" name="[Dim_Year].[Year].&amp;[1982]"/>
            <x15:cachedUniqueName index="34" name="[Dim_Year].[Year].&amp;[1983]"/>
            <x15:cachedUniqueName index="35" name="[Dim_Year].[Year].&amp;[1984]"/>
            <x15:cachedUniqueName index="36" name="[Dim_Year].[Year].&amp;[1985]"/>
            <x15:cachedUniqueName index="37" name="[Dim_Year].[Year].&amp;[1986]"/>
            <x15:cachedUniqueName index="38" name="[Dim_Year].[Year].&amp;[1987]"/>
            <x15:cachedUniqueName index="39" name="[Dim_Year].[Year].&amp;[1988]"/>
            <x15:cachedUniqueName index="40" name="[Dim_Year].[Year].&amp;[1989]"/>
            <x15:cachedUniqueName index="41" name="[Dim_Year].[Year].&amp;[1990]"/>
            <x15:cachedUniqueName index="42" name="[Dim_Year].[Year].&amp;[1991]"/>
            <x15:cachedUniqueName index="43" name="[Dim_Year].[Year].&amp;[1992]"/>
            <x15:cachedUniqueName index="44" name="[Dim_Year].[Year].&amp;[1993]"/>
            <x15:cachedUniqueName index="45" name="[Dim_Year].[Year].&amp;[1994]"/>
            <x15:cachedUniqueName index="46" name="[Dim_Year].[Year].&amp;[1995]"/>
            <x15:cachedUniqueName index="47" name="[Dim_Year].[Year].&amp;[1996]"/>
            <x15:cachedUniqueName index="48" name="[Dim_Year].[Year].&amp;[1997]"/>
            <x15:cachedUniqueName index="49" name="[Dim_Year].[Year].&amp;[1998]"/>
            <x15:cachedUniqueName index="50" name="[Dim_Year].[Year].&amp;[1999]"/>
            <x15:cachedUniqueName index="51" name="[Dim_Year].[Year].&amp;[2000]"/>
            <x15:cachedUniqueName index="52" name="[Dim_Year].[Year].&amp;[2001]"/>
            <x15:cachedUniqueName index="53" name="[Dim_Year].[Year].&amp;[2002]"/>
            <x15:cachedUniqueName index="54" name="[Dim_Year].[Year].&amp;[2003]"/>
            <x15:cachedUniqueName index="55" name="[Dim_Year].[Year].&amp;[2004]"/>
            <x15:cachedUniqueName index="56" name="[Dim_Year].[Year].&amp;[2005]"/>
            <x15:cachedUniqueName index="57" name="[Dim_Year].[Year].&amp;[2006]"/>
            <x15:cachedUniqueName index="58" name="[Dim_Year].[Year].&amp;[2007]"/>
            <x15:cachedUniqueName index="59" name="[Dim_Year].[Year].&amp;[2008]"/>
            <x15:cachedUniqueName index="60" name="[Dim_Year].[Year].&amp;[2009]"/>
            <x15:cachedUniqueName index="61" name="[Dim_Year].[Year].&amp;[2010]"/>
            <x15:cachedUniqueName index="62" name="[Dim_Year].[Year].&amp;[2011]"/>
            <x15:cachedUniqueName index="63" name="[Dim_Year].[Year].&amp;[2012]"/>
            <x15:cachedUniqueName index="64" name="[Dim_Year].[Year].&amp;[2013]"/>
            <x15:cachedUniqueName index="65" name="[Dim_Year].[Year].&amp;[2014]"/>
            <x15:cachedUniqueName index="66" name="[Dim_Year].[Year].&amp;[2015]"/>
            <x15:cachedUniqueName index="67" name="[Dim_Year].[Year].&amp;[2016]"/>
            <x15:cachedUniqueName index="68" name="[Dim_Year].[Year].&amp;[2017]"/>
            <x15:cachedUniqueName index="69" name="[Dim_Year].[Year].&amp;[2018]"/>
            <x15:cachedUniqueName index="70" name="[Dim_Year].[Year].&amp;[2019]"/>
            <x15:cachedUniqueName index="71" name="[Dim_Year].[Year].&amp;[2020]"/>
            <x15:cachedUniqueName index="72" name="[Dim_Year].[Year].&amp;[2021]"/>
            <x15:cachedUniqueName index="73" name="[Dim_Year].[Year].&amp;[2022]"/>
            <x15:cachedUniqueName index="74" name="[Dim_Year].[Year].&amp;[2023]"/>
            <x15:cachedUniqueName index="75" name="[Dim_Year].[Year].&amp;[2024]"/>
            <x15:cachedUniqueName index="76" name="[Dim_Year].[Year].&amp;[2025]"/>
          </x15:cachedUniqueNames>
        </ext>
      </extLst>
    </cacheField>
    <cacheField name="[Measures].[Sum of Military Expenditure]" caption="Sum of Military Expenditure" numFmtId="0" hierarchy="12" level="32767"/>
  </cacheFields>
  <cacheHierarchies count="14">
    <cacheHierarchy uniqueName="[Dim_Country].[CountryKey]" caption="CountryKey" attribute="1" defaultMemberUniqueName="[Dim_Country].[CountryKey].[All]" allUniqueName="[Dim_Country].[CountryKey].[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Year].[Index]" caption="Index" attribute="1" defaultMemberUniqueName="[Dim_Year].[Index].[All]" allUniqueName="[Dim_Year].[Index].[All]" dimensionUniqueName="[Dim_Year]" displayFolder="" count="0" memberValueDatatype="20" unbalanced="0"/>
    <cacheHierarchy uniqueName="[Dim_Year].[Year]" caption="Year" attribute="1" defaultMemberUniqueName="[Dim_Year].[Year].[All]" allUniqueName="[Dim_Year].[Year].[All]" dimensionUniqueName="[Dim_Year]" displayFolder="" count="2" memberValueDatatype="20" unbalanced="0">
      <fieldsUsage count="2">
        <fieldUsage x="-1"/>
        <fieldUsage x="0"/>
      </fieldsUsage>
    </cacheHierarchy>
    <cacheHierarchy uniqueName="[Fact_Military_Expenditure].[Country]" caption="Country" attribute="1" defaultMemberUniqueName="[Fact_Military_Expenditure].[Country].[All]" allUniqueName="[Fact_Military_Expenditure].[Country].[All]" dimensionUniqueName="[Fact_Military_Expenditure]" displayFolder="" count="0" memberValueDatatype="130" unbalanced="0"/>
    <cacheHierarchy uniqueName="[Fact_Military_Expenditure].[Year]" caption="Year" attribute="1" defaultMemberUniqueName="[Fact_Military_Expenditure].[Year].[All]" allUniqueName="[Fact_Military_Expenditure].[Year].[All]" dimensionUniqueName="[Fact_Military_Expenditure]" displayFolder="" count="0" memberValueDatatype="20" unbalanced="0"/>
    <cacheHierarchy uniqueName="[Fact_Military_Expenditure].[Military Expenditure]" caption="Military Expenditure" attribute="1" defaultMemberUniqueName="[Fact_Military_Expenditure].[Military Expenditure].[All]" allUniqueName="[Fact_Military_Expenditure].[Military Expenditure].[All]" dimensionUniqueName="[Fact_Military_Expenditure]" displayFolder="" count="0" memberValueDatatype="5" unbalanced="0"/>
    <cacheHierarchy uniqueName="[Measures].[__XL_Count Fact_Military_Expenditure]" caption="__XL_Count Fact_Military_Expenditure" measure="1" displayFolder="" measureGroup="Fact_Military_Expenditure" count="0" hidden="1"/>
    <cacheHierarchy uniqueName="[Measures].[__XL_Count Dim_Country]" caption="__XL_Count Dim_Country" measure="1" displayFolder="" measureGroup="Dim_Country" count="0" hidden="1"/>
    <cacheHierarchy uniqueName="[Measures].[__XL_Count Dim_Year]" caption="__XL_Count Dim_Year" measure="1" displayFolder="" measureGroup="Dim_Year" count="0" hidden="1"/>
    <cacheHierarchy uniqueName="[Measures].[__No measures defined]" caption="__No measures defined" measure="1" displayFolder="" count="0" hidden="1"/>
    <cacheHierarchy uniqueName="[Measures].[Sum of Military Expenditure]" caption="Sum of Military Expenditure" measure="1" displayFolder="" measureGroup="Fact_Military_Expenditur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Year]" caption="Sum of Year" measure="1" displayFolder="" measureGroup="Dim_Year" count="0" hidden="1">
      <extLst>
        <ext xmlns:x15="http://schemas.microsoft.com/office/spreadsheetml/2010/11/main" uri="{B97F6D7D-B522-45F9-BDA1-12C45D357490}">
          <x15:cacheHierarchy aggregatedColumn="4"/>
        </ext>
      </extLst>
    </cacheHierarchy>
  </cacheHierarchies>
  <kpis count="0"/>
  <dimensions count="4">
    <dimension name="Dim_Country" uniqueName="[Dim_Country]" caption="Dim_Country"/>
    <dimension name="Dim_Year" uniqueName="[Dim_Year]" caption="Dim_Year"/>
    <dimension name="Fact_Military_Expenditure" uniqueName="[Fact_Military_Expenditure]" caption="Fact_Military_Expenditure"/>
    <dimension measure="1" name="Measures" uniqueName="[Measures]" caption="Measures"/>
  </dimensions>
  <measureGroups count="3">
    <measureGroup name="Dim_Country" caption="Dim_Country"/>
    <measureGroup name="Dim_Year" caption="Dim_Year"/>
    <measureGroup name="Fact_Military_Expenditure" caption="Fact_Military_Expenditur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8.110347685186" backgroundQuery="1" createdVersion="6" refreshedVersion="6" minRefreshableVersion="3" recordCount="0" supportSubquery="1" supportAdvancedDrill="1" xr:uid="{63C7723F-62A4-4DBA-990F-D57A1EA3D33E}">
  <cacheSource type="external" connectionId="4"/>
  <cacheFields count="3">
    <cacheField name="[Dim_Country].[Region].[Region]" caption="Region" numFmtId="0" hierarchy="2" level="1">
      <sharedItems count="7">
        <s v="Africa"/>
        <s v="Asia"/>
        <s v="Europe"/>
        <s v="North America"/>
        <s v="Oceania"/>
        <s v="Other"/>
        <s v="South America"/>
      </sharedItems>
    </cacheField>
    <cacheField name="[Measures].[Sum of Military Expenditure]" caption="Sum of Military Expenditure" numFmtId="0" hierarchy="12" level="32767"/>
    <cacheField name="[Dim_Year].[Year].[Year]" caption="Year" numFmtId="0" hierarchy="4" level="1">
      <sharedItems containsSemiMixedTypes="0" containsNonDate="0" containsString="0"/>
    </cacheField>
  </cacheFields>
  <cacheHierarchies count="14">
    <cacheHierarchy uniqueName="[Dim_Country].[CountryKey]" caption="CountryKey" attribute="1" defaultMemberUniqueName="[Dim_Country].[CountryKey].[All]" allUniqueName="[Dim_Country].[CountryKey].[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2" memberValueDatatype="130" unbalanced="0">
      <fieldsUsage count="2">
        <fieldUsage x="-1"/>
        <fieldUsage x="0"/>
      </fieldsUsage>
    </cacheHierarchy>
    <cacheHierarchy uniqueName="[Dim_Year].[Index]" caption="Index" attribute="1" defaultMemberUniqueName="[Dim_Year].[Index].[All]" allUniqueName="[Dim_Year].[Index].[All]" dimensionUniqueName="[Dim_Year]" displayFolder="" count="0" memberValueDatatype="20" unbalanced="0"/>
    <cacheHierarchy uniqueName="[Dim_Year].[Year]" caption="Year" attribute="1" defaultMemberUniqueName="[Dim_Year].[Year].[All]" allUniqueName="[Dim_Year].[Year].[All]" dimensionUniqueName="[Dim_Year]" displayFolder="" count="2" memberValueDatatype="20" unbalanced="0">
      <fieldsUsage count="2">
        <fieldUsage x="-1"/>
        <fieldUsage x="2"/>
      </fieldsUsage>
    </cacheHierarchy>
    <cacheHierarchy uniqueName="[Fact_Military_Expenditure].[Country]" caption="Country" attribute="1" defaultMemberUniqueName="[Fact_Military_Expenditure].[Country].[All]" allUniqueName="[Fact_Military_Expenditure].[Country].[All]" dimensionUniqueName="[Fact_Military_Expenditure]" displayFolder="" count="0" memberValueDatatype="130" unbalanced="0"/>
    <cacheHierarchy uniqueName="[Fact_Military_Expenditure].[Year]" caption="Year" attribute="1" defaultMemberUniqueName="[Fact_Military_Expenditure].[Year].[All]" allUniqueName="[Fact_Military_Expenditure].[Year].[All]" dimensionUniqueName="[Fact_Military_Expenditure]" displayFolder="" count="0" memberValueDatatype="20" unbalanced="0"/>
    <cacheHierarchy uniqueName="[Fact_Military_Expenditure].[Military Expenditure]" caption="Military Expenditure" attribute="1" defaultMemberUniqueName="[Fact_Military_Expenditure].[Military Expenditure].[All]" allUniqueName="[Fact_Military_Expenditure].[Military Expenditure].[All]" dimensionUniqueName="[Fact_Military_Expenditure]" displayFolder="" count="0" memberValueDatatype="5" unbalanced="0"/>
    <cacheHierarchy uniqueName="[Measures].[__XL_Count Fact_Military_Expenditure]" caption="__XL_Count Fact_Military_Expenditure" measure="1" displayFolder="" measureGroup="Fact_Military_Expenditure" count="0" hidden="1"/>
    <cacheHierarchy uniqueName="[Measures].[__XL_Count Dim_Country]" caption="__XL_Count Dim_Country" measure="1" displayFolder="" measureGroup="Dim_Country" count="0" hidden="1"/>
    <cacheHierarchy uniqueName="[Measures].[__XL_Count Dim_Year]" caption="__XL_Count Dim_Year" measure="1" displayFolder="" measureGroup="Dim_Year" count="0" hidden="1"/>
    <cacheHierarchy uniqueName="[Measures].[__No measures defined]" caption="__No measures defined" measure="1" displayFolder="" count="0" hidden="1"/>
    <cacheHierarchy uniqueName="[Measures].[Sum of Military Expenditure]" caption="Sum of Military Expenditure" measure="1" displayFolder="" measureGroup="Fact_Military_Expenditur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Year]" caption="Sum of Year" measure="1" displayFolder="" measureGroup="Dim_Year" count="0" hidden="1">
      <extLst>
        <ext xmlns:x15="http://schemas.microsoft.com/office/spreadsheetml/2010/11/main" uri="{B97F6D7D-B522-45F9-BDA1-12C45D357490}">
          <x15:cacheHierarchy aggregatedColumn="4"/>
        </ext>
      </extLst>
    </cacheHierarchy>
  </cacheHierarchies>
  <kpis count="0"/>
  <dimensions count="4">
    <dimension name="Dim_Country" uniqueName="[Dim_Country]" caption="Dim_Country"/>
    <dimension name="Dim_Year" uniqueName="[Dim_Year]" caption="Dim_Year"/>
    <dimension name="Fact_Military_Expenditure" uniqueName="[Fact_Military_Expenditure]" caption="Fact_Military_Expenditure"/>
    <dimension measure="1" name="Measures" uniqueName="[Measures]" caption="Measures"/>
  </dimensions>
  <measureGroups count="3">
    <measureGroup name="Dim_Country" caption="Dim_Country"/>
    <measureGroup name="Dim_Year" caption="Dim_Year"/>
    <measureGroup name="Fact_Military_Expenditure" caption="Fact_Military_Expenditur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8.110348032409" backgroundQuery="1" createdVersion="6" refreshedVersion="6" minRefreshableVersion="3" recordCount="0" supportSubquery="1" supportAdvancedDrill="1" xr:uid="{96CD4C9F-3E21-41F5-86E2-996F4B2F9037}">
  <cacheSource type="external" connectionId="4"/>
  <cacheFields count="3">
    <cacheField name="[Dim_Country].[Country].[Country]" caption="Country" numFmtId="0" hierarchy="1" level="1">
      <sharedItems count="10">
        <s v="China"/>
        <s v="France"/>
        <s v="Germany"/>
        <s v="India"/>
        <s v="Italy"/>
        <s v="Japan"/>
        <s v="Russia"/>
        <s v="Saudi Arabia"/>
        <s v="United Kingdom"/>
        <s v="United States of America"/>
      </sharedItems>
    </cacheField>
    <cacheField name="[Measures].[Sum of Military Expenditure]" caption="Sum of Military Expenditure" numFmtId="0" hierarchy="12" level="32767"/>
    <cacheField name="[Dim_Year].[Year].[Year]" caption="Year" numFmtId="0" hierarchy="4" level="1">
      <sharedItems containsSemiMixedTypes="0" containsNonDate="0" containsString="0"/>
    </cacheField>
  </cacheFields>
  <cacheHierarchies count="14">
    <cacheHierarchy uniqueName="[Dim_Country].[CountryKey]" caption="CountryKey" attribute="1" defaultMemberUniqueName="[Dim_Country].[CountryKey].[All]" allUniqueName="[Dim_Country].[CountryKey].[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2" memberValueDatatype="130" unbalanced="0">
      <fieldsUsage count="2">
        <fieldUsage x="-1"/>
        <fieldUsage x="0"/>
      </fieldsUsage>
    </cacheHierarchy>
    <cacheHierarchy uniqueName="[Dim_Country].[Region]" caption="Region" attribute="1" defaultMemberUniqueName="[Dim_Country].[Region].[All]" allUniqueName="[Dim_Country].[Region].[All]" dimensionUniqueName="[Dim_Country]" displayFolder="" count="0" memberValueDatatype="130" unbalanced="0"/>
    <cacheHierarchy uniqueName="[Dim_Year].[Index]" caption="Index" attribute="1" defaultMemberUniqueName="[Dim_Year].[Index].[All]" allUniqueName="[Dim_Year].[Index].[All]" dimensionUniqueName="[Dim_Year]" displayFolder="" count="0" memberValueDatatype="20" unbalanced="0"/>
    <cacheHierarchy uniqueName="[Dim_Year].[Year]" caption="Year" attribute="1" defaultMemberUniqueName="[Dim_Year].[Year].[All]" allUniqueName="[Dim_Year].[Year].[All]" dimensionUniqueName="[Dim_Year]" displayFolder="" count="2" memberValueDatatype="20" unbalanced="0">
      <fieldsUsage count="2">
        <fieldUsage x="-1"/>
        <fieldUsage x="2"/>
      </fieldsUsage>
    </cacheHierarchy>
    <cacheHierarchy uniqueName="[Fact_Military_Expenditure].[Country]" caption="Country" attribute="1" defaultMemberUniqueName="[Fact_Military_Expenditure].[Country].[All]" allUniqueName="[Fact_Military_Expenditure].[Country].[All]" dimensionUniqueName="[Fact_Military_Expenditure]" displayFolder="" count="0" memberValueDatatype="130" unbalanced="0"/>
    <cacheHierarchy uniqueName="[Fact_Military_Expenditure].[Year]" caption="Year" attribute="1" defaultMemberUniqueName="[Fact_Military_Expenditure].[Year].[All]" allUniqueName="[Fact_Military_Expenditure].[Year].[All]" dimensionUniqueName="[Fact_Military_Expenditure]" displayFolder="" count="0" memberValueDatatype="20" unbalanced="0"/>
    <cacheHierarchy uniqueName="[Fact_Military_Expenditure].[Military Expenditure]" caption="Military Expenditure" attribute="1" defaultMemberUniqueName="[Fact_Military_Expenditure].[Military Expenditure].[All]" allUniqueName="[Fact_Military_Expenditure].[Military Expenditure].[All]" dimensionUniqueName="[Fact_Military_Expenditure]" displayFolder="" count="0" memberValueDatatype="5" unbalanced="0"/>
    <cacheHierarchy uniqueName="[Measures].[__XL_Count Fact_Military_Expenditure]" caption="__XL_Count Fact_Military_Expenditure" measure="1" displayFolder="" measureGroup="Fact_Military_Expenditure" count="0" hidden="1"/>
    <cacheHierarchy uniqueName="[Measures].[__XL_Count Dim_Country]" caption="__XL_Count Dim_Country" measure="1" displayFolder="" measureGroup="Dim_Country" count="0" hidden="1"/>
    <cacheHierarchy uniqueName="[Measures].[__XL_Count Dim_Year]" caption="__XL_Count Dim_Year" measure="1" displayFolder="" measureGroup="Dim_Year" count="0" hidden="1"/>
    <cacheHierarchy uniqueName="[Measures].[__No measures defined]" caption="__No measures defined" measure="1" displayFolder="" count="0" hidden="1"/>
    <cacheHierarchy uniqueName="[Measures].[Sum of Military Expenditure]" caption="Sum of Military Expenditure" measure="1" displayFolder="" measureGroup="Fact_Military_Expenditure" count="0" oneField="1" hidden="1">
      <fieldsUsage count="1">
        <fieldUsage x="1"/>
      </fieldsUsage>
      <extLst>
        <ext xmlns:x15="http://schemas.microsoft.com/office/spreadsheetml/2010/11/main" uri="{B97F6D7D-B522-45F9-BDA1-12C45D357490}">
          <x15:cacheHierarchy aggregatedColumn="7"/>
        </ext>
      </extLst>
    </cacheHierarchy>
    <cacheHierarchy uniqueName="[Measures].[Sum of Year]" caption="Sum of Year" measure="1" displayFolder="" measureGroup="Dim_Year" count="0" hidden="1">
      <extLst>
        <ext xmlns:x15="http://schemas.microsoft.com/office/spreadsheetml/2010/11/main" uri="{B97F6D7D-B522-45F9-BDA1-12C45D357490}">
          <x15:cacheHierarchy aggregatedColumn="4"/>
        </ext>
      </extLst>
    </cacheHierarchy>
  </cacheHierarchies>
  <kpis count="0"/>
  <dimensions count="4">
    <dimension name="Dim_Country" uniqueName="[Dim_Country]" caption="Dim_Country"/>
    <dimension name="Dim_Year" uniqueName="[Dim_Year]" caption="Dim_Year"/>
    <dimension name="Fact_Military_Expenditure" uniqueName="[Fact_Military_Expenditure]" caption="Fact_Military_Expenditure"/>
    <dimension measure="1" name="Measures" uniqueName="[Measures]" caption="Measures"/>
  </dimensions>
  <measureGroups count="3">
    <measureGroup name="Dim_Country" caption="Dim_Country"/>
    <measureGroup name="Dim_Year" caption="Dim_Year"/>
    <measureGroup name="Fact_Military_Expenditure" caption="Fact_Military_Expenditure"/>
  </measureGroups>
  <maps count="5">
    <map measureGroup="0" dimension="0"/>
    <map measureGroup="1" dimension="1"/>
    <map measureGroup="2" dimension="0"/>
    <map measureGroup="2" dimension="1"/>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P" refreshedDate="46248.075198726852" backgroundQuery="1" createdVersion="3" refreshedVersion="6" minRefreshableVersion="3" recordCount="0" supportSubquery="1" supportAdvancedDrill="1" xr:uid="{D470981A-FCC5-4322-9625-2DA0DB83D947}">
  <cacheSource type="external" connectionId="4">
    <extLst>
      <ext xmlns:x14="http://schemas.microsoft.com/office/spreadsheetml/2009/9/main" uri="{F057638F-6D5F-4e77-A914-E7F072B9BCA8}">
        <x14:sourceConnection name="ThisWorkbookDataModel"/>
      </ext>
    </extLst>
  </cacheSource>
  <cacheFields count="0"/>
  <cacheHierarchies count="14">
    <cacheHierarchy uniqueName="[Dim_Country].[CountryKey]" caption="CountryKey" attribute="1" defaultMemberUniqueName="[Dim_Country].[CountryKey].[All]" allUniqueName="[Dim_Country].[CountryKey].[All]" dimensionUniqueName="[Dim_Country]" displayFolder="" count="0" memberValueDatatype="20" unbalanced="0"/>
    <cacheHierarchy uniqueName="[Dim_Country].[Country]" caption="Country" attribute="1" defaultMemberUniqueName="[Dim_Country].[Country].[All]" allUniqueName="[Dim_Country].[Country].[All]" dimensionUniqueName="[Dim_Country]" displayFolder="" count="0" memberValueDatatype="130" unbalanced="0"/>
    <cacheHierarchy uniqueName="[Dim_Country].[Region]" caption="Region" attribute="1" defaultMemberUniqueName="[Dim_Country].[Region].[All]" allUniqueName="[Dim_Country].[Region].[All]" dimensionUniqueName="[Dim_Country]" displayFolder="" count="0" memberValueDatatype="130" unbalanced="0"/>
    <cacheHierarchy uniqueName="[Dim_Year].[Index]" caption="Index" attribute="1" defaultMemberUniqueName="[Dim_Year].[Index].[All]" allUniqueName="[Dim_Year].[Index].[All]" dimensionUniqueName="[Dim_Year]" displayFolder="" count="0" memberValueDatatype="20" unbalanced="0"/>
    <cacheHierarchy uniqueName="[Dim_Year].[Year]" caption="Year" attribute="1" defaultMemberUniqueName="[Dim_Year].[Year].[All]" allUniqueName="[Dim_Year].[Year].[All]" dimensionUniqueName="[Dim_Year]" displayFolder="" count="2" memberValueDatatype="20" unbalanced="0"/>
    <cacheHierarchy uniqueName="[Fact_Military_Expenditure].[Country]" caption="Country" attribute="1" defaultMemberUniqueName="[Fact_Military_Expenditure].[Country].[All]" allUniqueName="[Fact_Military_Expenditure].[Country].[All]" dimensionUniqueName="[Fact_Military_Expenditure]" displayFolder="" count="0" memberValueDatatype="130" unbalanced="0"/>
    <cacheHierarchy uniqueName="[Fact_Military_Expenditure].[Year]" caption="Year" attribute="1" defaultMemberUniqueName="[Fact_Military_Expenditure].[Year].[All]" allUniqueName="[Fact_Military_Expenditure].[Year].[All]" dimensionUniqueName="[Fact_Military_Expenditure]" displayFolder="" count="0" memberValueDatatype="20" unbalanced="0"/>
    <cacheHierarchy uniqueName="[Fact_Military_Expenditure].[Military Expenditure]" caption="Military Expenditure" attribute="1" defaultMemberUniqueName="[Fact_Military_Expenditure].[Military Expenditure].[All]" allUniqueName="[Fact_Military_Expenditure].[Military Expenditure].[All]" dimensionUniqueName="[Fact_Military_Expenditure]" displayFolder="" count="0" memberValueDatatype="5" unbalanced="0"/>
    <cacheHierarchy uniqueName="[Measures].[__XL_Count Fact_Military_Expenditure]" caption="__XL_Count Fact_Military_Expenditure" measure="1" displayFolder="" measureGroup="Fact_Military_Expenditure" count="0" hidden="1"/>
    <cacheHierarchy uniqueName="[Measures].[__XL_Count Dim_Country]" caption="__XL_Count Dim_Country" measure="1" displayFolder="" measureGroup="Dim_Country" count="0" hidden="1"/>
    <cacheHierarchy uniqueName="[Measures].[__XL_Count Dim_Year]" caption="__XL_Count Dim_Year" measure="1" displayFolder="" measureGroup="Dim_Year" count="0" hidden="1"/>
    <cacheHierarchy uniqueName="[Measures].[__No measures defined]" caption="__No measures defined" measure="1" displayFolder="" count="0" hidden="1"/>
    <cacheHierarchy uniqueName="[Measures].[Sum of Military Expenditure]" caption="Sum of Military Expenditure" measure="1" displayFolder="" measureGroup="Fact_Military_Expenditure" count="0" hidden="1">
      <extLst>
        <ext xmlns:x15="http://schemas.microsoft.com/office/spreadsheetml/2010/11/main" uri="{B97F6D7D-B522-45F9-BDA1-12C45D357490}">
          <x15:cacheHierarchy aggregatedColumn="7"/>
        </ext>
      </extLst>
    </cacheHierarchy>
    <cacheHierarchy uniqueName="[Measures].[Sum of Year]" caption="Sum of Year" measure="1" displayFolder="" measureGroup="Dim_Year" count="0" hidden="1">
      <extLst>
        <ext xmlns:x15="http://schemas.microsoft.com/office/spreadsheetml/2010/11/main" uri="{B97F6D7D-B522-45F9-BDA1-12C45D357490}">
          <x15:cacheHierarchy aggregatedColumn="4"/>
        </ext>
      </extLst>
    </cacheHierarchy>
  </cacheHierarchies>
  <kpis count="0"/>
  <extLst>
    <ext xmlns:x14="http://schemas.microsoft.com/office/spreadsheetml/2009/9/main" uri="{725AE2AE-9491-48be-B2B4-4EB974FC3084}">
      <x14:pivotCacheDefinition slicerData="1" pivotCacheId="18091134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D13AEA0-8BAD-4F4E-A326-AE54C981A8E3}" name="PivotTable2" cacheId="33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11">
  <location ref="A3:B14" firstHeaderRow="1" firstDataRow="1" firstDataCol="1"/>
  <pivotFields count="3">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11">
    <i>
      <x v="9"/>
    </i>
    <i>
      <x/>
    </i>
    <i>
      <x v="8"/>
    </i>
    <i>
      <x v="1"/>
    </i>
    <i>
      <x v="2"/>
    </i>
    <i>
      <x v="5"/>
    </i>
    <i>
      <x v="6"/>
    </i>
    <i>
      <x v="7"/>
    </i>
    <i>
      <x v="3"/>
    </i>
    <i>
      <x v="4"/>
    </i>
    <i t="grand">
      <x/>
    </i>
  </rowItems>
  <colItems count="1">
    <i/>
  </colItems>
  <dataFields count="1">
    <dataField name="Sum of Military Expenditure" fld="1" baseField="0" baseItem="0"/>
  </dataFields>
  <chartFormats count="2">
    <chartFormat chart="7" format="2"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filters count="1">
    <filter fld="0" type="count" id="1" iMeasureHier="12">
      <autoFilter ref="A1">
        <filterColumn colId="0">
          <top10 val="10" filterVal="10"/>
        </filterColumn>
      </autoFilter>
    </filter>
  </filters>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Fact_Military_Expendi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A481785-B2ED-454A-BA20-9601E69B03C7}" name="PivotTable4" cacheId="327"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A1:B79" firstHeaderRow="1" firstDataRow="1" firstDataCol="1"/>
  <pivotFields count="2">
    <pivotField axis="axisRow" allDrilled="1" subtotalTop="0" showAll="0" dataSourceSort="1" defaultSubtotal="0" defaultAttributeDrillState="1">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s>
    </pivotField>
    <pivotField dataField="1" subtotalTop="0" showAll="0" defaultSubtotal="0"/>
  </pivotFields>
  <rowFields count="1">
    <field x="0"/>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Items count="1">
    <i/>
  </colItems>
  <dataFields count="1">
    <dataField name="Sum of Military Expenditure" fld="1" baseField="0" baseItem="2"/>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Fact_Military_Expendi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1C08774-825E-4518-B287-76D73CDB9A2D}" name="PivotTable10" cacheId="330"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7">
  <location ref="A1:B9" firstHeaderRow="1" firstDataRow="1" firstDataCol="1"/>
  <pivotFields count="3">
    <pivotField axis="axisRow" allDrilled="1" subtotalTop="0" showAll="0" sortType="de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3"/>
    </i>
    <i>
      <x v="2"/>
    </i>
    <i>
      <x v="1"/>
    </i>
    <i>
      <x v="6"/>
    </i>
    <i>
      <x v="5"/>
    </i>
    <i>
      <x/>
    </i>
    <i>
      <x v="4"/>
    </i>
    <i t="grand">
      <x/>
    </i>
  </rowItems>
  <colItems count="1">
    <i/>
  </colItems>
  <dataFields count="1">
    <dataField name="Sum of Military Expenditure" fld="1" baseField="0" baseItem="0"/>
  </dataFields>
  <chartFormats count="2">
    <chartFormat chart="3" format="2"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Hierarchies count="14">
    <pivotHierarchy dragToData="1"/>
    <pivotHierarchy dragToData="1"/>
    <pivotHierarchy dragToData="1"/>
    <pivotHierarchy dragToData="1"/>
    <pivotHierarchy multipleItemSelectionAllowed="1"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Country]"/>
        <x15:activeTabTopLevelEntity name="[Fact_Military_Expenditur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EE27BAB-6876-4F28-918E-F7EF6216A0AB}" name="PivotTable11" cacheId="243" applyNumberFormats="0" applyBorderFormats="0" applyFontFormats="0" applyPatternFormats="0" applyAlignmentFormats="0" applyWidthHeightFormats="1" dataCaption="Values" updatedVersion="6" minRefreshableVersion="3" useAutoFormatting="1" subtotalHiddenItems="1" itemPrintTitles="1" createdVersion="6" indent="0" outline="1" outlineData="1" multipleFieldFilters="0" chartFormat="30" rowHeaderCaption="Year">
  <location ref="A3:C81" firstHeaderRow="0" firstDataRow="1" firstDataCol="1"/>
  <pivotFields count="3">
    <pivotField axis="axisRow" allDrilled="1" subtotalTop="0" showAll="0" defaultSubtotal="0" defaultAttributeDrillState="1">
      <items count="7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0"/>
  </rowFields>
  <rowItems count="7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t="grand">
      <x/>
    </i>
  </rowItems>
  <colFields count="1">
    <field x="-2"/>
  </colFields>
  <colItems count="2">
    <i>
      <x/>
    </i>
    <i i="1">
      <x v="1"/>
    </i>
  </colItems>
  <dataFields count="2">
    <dataField name="Sum of Military Expenditure" fld="1" baseField="0" baseItem="0"/>
    <dataField name="Year on Year Growth %" fld="2" showDataAs="percentDiff" baseField="0" baseItem="1048828" numFmtId="10">
      <extLst>
        <ext xmlns:x14="http://schemas.microsoft.com/office/spreadsheetml/2009/9/main" uri="{E15A36E0-9728-4e99-A89B-3F7291B0FE68}">
          <x14:dataField sourceField="1" uniqueName="[__Xl2].[Measures].[Sum of Military Expenditure]"/>
        </ext>
      </extLst>
    </dataField>
  </dataFields>
  <chartFormats count="2">
    <chartFormat chart="4" format="4" series="1">
      <pivotArea type="data" outline="0" fieldPosition="0">
        <references count="1">
          <reference field="4294967294" count="1" selected="0">
            <x v="0"/>
          </reference>
        </references>
      </pivotArea>
    </chartFormat>
    <chartFormat chart="4" format="5" series="1">
      <pivotArea type="data" outline="0" fieldPosition="0">
        <references count="1">
          <reference field="4294967294" count="1" selected="0">
            <x v="1"/>
          </reference>
        </references>
      </pivotArea>
    </chartFormat>
  </chartFormats>
  <pivotHierarchies count="15">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caption="Year on Year Growth %"/>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Year]"/>
        <x15:activeTabTopLevelEntity name="[Fact_Military_Expenditur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5D6EBF32-FB23-491A-81D4-4BEC863A94DE}" autoFormatId="16" applyNumberFormats="0" applyBorderFormats="0" applyFontFormats="0" applyPatternFormats="0" applyAlignmentFormats="0" applyWidthHeightFormats="0">
  <queryTableRefresh nextId="4">
    <queryTableFields count="3">
      <queryTableField id="1" name="CountryKey" tableColumnId="1"/>
      <queryTableField id="2" name="Country" tableColumnId="2"/>
      <queryTableField id="3" name="Region" tableColumnId="3"/>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2" connectionId="2" xr16:uid="{4BD50486-9394-48ED-8E70-BD782404E311}" autoFormatId="16" applyNumberFormats="0" applyBorderFormats="0" applyFontFormats="0" applyPatternFormats="0" applyAlignmentFormats="0" applyWidthHeightFormats="0">
  <queryTableRefresh nextId="3">
    <queryTableFields count="2">
      <queryTableField id="1" name="Index" tableColumnId="1"/>
      <queryTableField id="2" name="Year" tableColumnId="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1" connectionId="3" xr16:uid="{2706F521-BC9C-44F7-9F02-D4E84B002E36}" autoFormatId="16" applyNumberFormats="0" applyBorderFormats="0" applyFontFormats="0" applyPatternFormats="0" applyAlignmentFormats="0" applyWidthHeightFormats="0">
  <queryTableRefresh nextId="4">
    <queryTableFields count="3">
      <queryTableField id="1" name="Country" tableColumnId="1"/>
      <queryTableField id="2" name="Year" tableColumnId="2"/>
      <queryTableField id="3" name="Military Expenditur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EAE5F3A7-B36E-4D10-92D2-72C7A3D2EB23}" sourceName="[Dim_Year].[Year]">
  <pivotTables>
    <pivotTable tabId="7" name="PivotTable4"/>
    <pivotTable tabId="11" name="PivotTable10"/>
    <pivotTable tabId="6" name="PivotTable2"/>
  </pivotTables>
  <data>
    <olap pivotCacheId="1809113437">
      <levels count="2">
        <level uniqueName="[Dim_Year].[Year].[(All)]" sourceCaption="(All)" count="0"/>
        <level uniqueName="[Dim_Year].[Year].[Year]" sourceCaption="Year" count="77">
          <ranges>
            <range startItem="0">
              <i n="[Dim_Year].[Year].&amp;[1949]" c="1949"/>
              <i n="[Dim_Year].[Year].&amp;[1950]" c="1950"/>
              <i n="[Dim_Year].[Year].&amp;[1951]" c="1951"/>
              <i n="[Dim_Year].[Year].&amp;[1952]" c="1952"/>
              <i n="[Dim_Year].[Year].&amp;[1953]" c="1953"/>
              <i n="[Dim_Year].[Year].&amp;[1954]" c="1954"/>
              <i n="[Dim_Year].[Year].&amp;[1955]" c="1955"/>
              <i n="[Dim_Year].[Year].&amp;[1956]" c="1956"/>
              <i n="[Dim_Year].[Year].&amp;[1957]" c="1957"/>
              <i n="[Dim_Year].[Year].&amp;[1958]" c="1958"/>
              <i n="[Dim_Year].[Year].&amp;[1959]" c="1959"/>
              <i n="[Dim_Year].[Year].&amp;[1960]" c="1960"/>
              <i n="[Dim_Year].[Year].&amp;[1961]" c="1961"/>
              <i n="[Dim_Year].[Year].&amp;[1962]" c="1962"/>
              <i n="[Dim_Year].[Year].&amp;[1963]" c="1963"/>
              <i n="[Dim_Year].[Year].&amp;[1964]" c="1964"/>
              <i n="[Dim_Year].[Year].&amp;[1965]" c="1965"/>
              <i n="[Dim_Year].[Year].&amp;[1966]" c="1966"/>
              <i n="[Dim_Year].[Year].&amp;[1967]" c="1967"/>
              <i n="[Dim_Year].[Year].&amp;[1968]" c="1968"/>
              <i n="[Dim_Year].[Year].&amp;[1969]" c="1969"/>
              <i n="[Dim_Year].[Year].&amp;[1970]" c="1970"/>
              <i n="[Dim_Year].[Year].&amp;[1971]" c="1971"/>
              <i n="[Dim_Year].[Year].&amp;[1972]" c="1972"/>
              <i n="[Dim_Year].[Year].&amp;[1973]" c="1973"/>
              <i n="[Dim_Year].[Year].&amp;[1974]" c="1974"/>
              <i n="[Dim_Year].[Year].&amp;[1975]" c="1975"/>
              <i n="[Dim_Year].[Year].&amp;[1976]" c="1976"/>
              <i n="[Dim_Year].[Year].&amp;[1977]" c="1977"/>
              <i n="[Dim_Year].[Year].&amp;[1978]" c="1978"/>
              <i n="[Dim_Year].[Year].&amp;[1979]" c="1979"/>
              <i n="[Dim_Year].[Year].&amp;[1980]" c="1980"/>
              <i n="[Dim_Year].[Year].&amp;[1981]" c="1981"/>
              <i n="[Dim_Year].[Year].&amp;[1982]" c="1982"/>
              <i n="[Dim_Year].[Year].&amp;[1983]" c="1983"/>
              <i n="[Dim_Year].[Year].&amp;[1984]" c="1984"/>
              <i n="[Dim_Year].[Year].&amp;[1985]" c="1985"/>
              <i n="[Dim_Year].[Year].&amp;[1986]" c="1986"/>
              <i n="[Dim_Year].[Year].&amp;[1987]" c="1987"/>
              <i n="[Dim_Year].[Year].&amp;[1988]" c="1988"/>
              <i n="[Dim_Year].[Year].&amp;[1989]" c="1989"/>
              <i n="[Dim_Year].[Year].&amp;[1990]" c="1990"/>
              <i n="[Dim_Year].[Year].&amp;[1991]" c="1991"/>
              <i n="[Dim_Year].[Year].&amp;[1992]" c="1992"/>
              <i n="[Dim_Year].[Year].&amp;[1993]" c="1993"/>
              <i n="[Dim_Year].[Year].&amp;[1994]" c="1994"/>
              <i n="[Dim_Year].[Year].&amp;[1995]" c="1995"/>
              <i n="[Dim_Year].[Year].&amp;[1996]" c="1996"/>
              <i n="[Dim_Year].[Year].&amp;[1997]" c="1997"/>
              <i n="[Dim_Year].[Year].&amp;[1998]" c="1998"/>
              <i n="[Dim_Year].[Year].&amp;[1999]" c="1999"/>
              <i n="[Dim_Year].[Year].&amp;[2000]" c="2000"/>
              <i n="[Dim_Year].[Year].&amp;[2001]" c="2001"/>
              <i n="[Dim_Year].[Year].&amp;[2002]" c="2002"/>
              <i n="[Dim_Year].[Year].&amp;[2003]" c="2003"/>
              <i n="[Dim_Year].[Year].&amp;[2004]" c="2004"/>
              <i n="[Dim_Year].[Year].&amp;[2005]" c="2005"/>
              <i n="[Dim_Year].[Year].&amp;[2006]" c="2006"/>
              <i n="[Dim_Year].[Year].&amp;[2007]" c="2007"/>
              <i n="[Dim_Year].[Year].&amp;[2008]" c="2008"/>
              <i n="[Dim_Year].[Year].&amp;[2009]" c="2009"/>
              <i n="[Dim_Year].[Year].&amp;[2010]" c="2010"/>
              <i n="[Dim_Year].[Year].&amp;[2011]" c="2011"/>
              <i n="[Dim_Year].[Year].&amp;[2012]" c="2012"/>
              <i n="[Dim_Year].[Year].&amp;[2013]" c="2013"/>
              <i n="[Dim_Year].[Year].&amp;[2014]" c="2014"/>
              <i n="[Dim_Year].[Year].&amp;[2015]" c="2015"/>
              <i n="[Dim_Year].[Year].&amp;[2016]" c="2016"/>
              <i n="[Dim_Year].[Year].&amp;[2017]" c="2017"/>
              <i n="[Dim_Year].[Year].&amp;[2018]" c="2018"/>
              <i n="[Dim_Year].[Year].&amp;[2019]" c="2019"/>
              <i n="[Dim_Year].[Year].&amp;[2020]" c="2020"/>
              <i n="[Dim_Year].[Year].&amp;[2021]" c="2021"/>
              <i n="[Dim_Year].[Year].&amp;[2022]" c="2022"/>
              <i n="[Dim_Year].[Year].&amp;[2023]" c="2023"/>
              <i n="[Dim_Year].[Year].&amp;[2024]" c="2024"/>
              <i n="[Dim_Year].[Year].&amp;[2025]" c="2025"/>
            </range>
          </ranges>
        </level>
      </levels>
      <selections count="1">
        <selection n="[Dim_Year].[Yea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D0EA5689-BED4-473D-9790-19DDDD3CDA36}" cache="Slicer_Year" caption="Year" level="1" style="SlicerStyleLight6"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7F27F3C-35C3-4CC2-B5EF-399A07F27AB0}" name="Dim_Country" displayName="Dim_Country" ref="A1:C173" tableType="queryTable" totalsRowShown="0">
  <autoFilter ref="A1:C173" xr:uid="{9BE076F3-C8A1-46BF-8001-A5AB2084220C}"/>
  <tableColumns count="3">
    <tableColumn id="1" xr3:uid="{28A2A766-C546-4566-8235-A7EE9CCB1D70}" uniqueName="1" name="CountryKey" queryTableFieldId="1"/>
    <tableColumn id="2" xr3:uid="{711D2855-C512-456F-88A6-8D9D59EFACBA}" uniqueName="2" name="Country" queryTableFieldId="2"/>
    <tableColumn id="3" xr3:uid="{AB71123F-9545-4EC8-9AD1-B84FC7A4DBD0}" uniqueName="3" name="Region" queryTableFieldId="3"/>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20BAAAAB-96A8-470C-805B-E06960EA5092}" name="Dim_Year" displayName="Dim_Year" ref="A1:B78" tableType="queryTable" totalsRowShown="0">
  <autoFilter ref="A1:B78" xr:uid="{E9BA7125-E203-4953-8A54-E43818C549BE}"/>
  <tableColumns count="2">
    <tableColumn id="1" xr3:uid="{4939E12B-A2DD-4423-A23D-A12D0C466E74}" uniqueName="1" name="Index" queryTableFieldId="1"/>
    <tableColumn id="2" xr3:uid="{D3A9BC59-6833-49D8-887D-41131D979C19}" uniqueName="2" name="Year" queryTableFieldId="2"/>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371948D-FE44-4755-B4E9-9E37D5E320CB}" name="Fact_Military_Expenditure" displayName="Fact_Military_Expenditure" ref="A1:C8762" tableType="queryTable" totalsRowShown="0">
  <autoFilter ref="A1:C8762" xr:uid="{A018C682-BF09-4B8A-89E3-E254D2E71394}"/>
  <tableColumns count="3">
    <tableColumn id="1" xr3:uid="{902E9AEC-4DE4-41D9-82EA-01062921ABEC}" uniqueName="1" name="Country" queryTableFieldId="1"/>
    <tableColumn id="2" xr3:uid="{E17F8D7E-0D78-4366-A523-1A66D4E90D6E}" uniqueName="2" name="Year" queryTableFieldId="2"/>
    <tableColumn id="3" xr3:uid="{D871F327-0731-42B4-A810-7CC72E47AC0D}" uniqueName="3" name="Military Expenditure" queryTableFieldId="3"/>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F803B7-1C7C-4DB6-A8BD-44ABE2D315EF}">
  <dimension ref="B2:R42"/>
  <sheetViews>
    <sheetView tabSelected="1" zoomScale="67" workbookViewId="0">
      <selection activeCell="U12" sqref="U12"/>
    </sheetView>
  </sheetViews>
  <sheetFormatPr defaultRowHeight="14.5" x14ac:dyDescent="0.35"/>
  <sheetData>
    <row r="2" spans="2:18" x14ac:dyDescent="0.35">
      <c r="B2" s="5" t="s">
        <v>188</v>
      </c>
      <c r="C2" s="4"/>
      <c r="D2" s="4"/>
      <c r="E2" s="4"/>
      <c r="F2" s="4"/>
      <c r="G2" s="4"/>
      <c r="H2" s="4"/>
      <c r="I2" s="4"/>
      <c r="J2" s="4"/>
      <c r="K2" s="4"/>
      <c r="L2" s="4"/>
      <c r="M2" s="4"/>
      <c r="N2" s="4"/>
    </row>
    <row r="3" spans="2:18" x14ac:dyDescent="0.35">
      <c r="B3" s="4"/>
      <c r="C3" s="4"/>
      <c r="D3" s="4"/>
      <c r="E3" s="4"/>
      <c r="F3" s="4"/>
      <c r="G3" s="4"/>
      <c r="H3" s="4"/>
      <c r="I3" s="4"/>
      <c r="J3" s="4"/>
      <c r="K3" s="4"/>
      <c r="L3" s="4"/>
      <c r="M3" s="4"/>
      <c r="N3" s="4"/>
    </row>
    <row r="4" spans="2:18" ht="15" thickBot="1" x14ac:dyDescent="0.4">
      <c r="B4" s="4" t="s">
        <v>189</v>
      </c>
      <c r="C4" s="4"/>
      <c r="D4" s="4"/>
      <c r="E4" s="4" t="s">
        <v>190</v>
      </c>
      <c r="F4" s="4"/>
      <c r="G4" s="4"/>
      <c r="H4" s="4" t="s">
        <v>191</v>
      </c>
      <c r="I4" s="4"/>
      <c r="J4" s="4"/>
      <c r="K4" s="4" t="s">
        <v>192</v>
      </c>
      <c r="L4" s="4"/>
      <c r="M4" s="4"/>
    </row>
    <row r="5" spans="2:18" ht="14.5" customHeight="1" x14ac:dyDescent="0.35">
      <c r="B5" s="6" t="str">
        <f>ROUND('Regional Military Expenditure'!B9/1000000,2)&amp;"M"</f>
        <v>59.42M</v>
      </c>
      <c r="C5" s="7"/>
      <c r="D5" s="8"/>
      <c r="E5" s="6">
        <f>MAX('Military Expenditure Trend'!A:A)-MIN('Military Expenditure Trend'!A:A)+1</f>
        <v>77</v>
      </c>
      <c r="F5" s="7"/>
      <c r="G5" s="8"/>
      <c r="H5" s="15" t="str">
        <f>'Top 10 Military Spenders'!A4</f>
        <v>United States of America</v>
      </c>
      <c r="I5" s="16"/>
      <c r="J5" s="17"/>
      <c r="K5" s="24" t="str">
        <f>'Regional Military Expenditure'!A2</f>
        <v>North America</v>
      </c>
      <c r="L5" s="25"/>
      <c r="M5" s="26"/>
    </row>
    <row r="6" spans="2:18" ht="14.5" customHeight="1" x14ac:dyDescent="0.35">
      <c r="B6" s="9"/>
      <c r="C6" s="10"/>
      <c r="D6" s="11"/>
      <c r="E6" s="9"/>
      <c r="F6" s="10"/>
      <c r="G6" s="11"/>
      <c r="H6" s="18"/>
      <c r="I6" s="19"/>
      <c r="J6" s="20"/>
      <c r="K6" s="27"/>
      <c r="L6" s="28"/>
      <c r="M6" s="29"/>
    </row>
    <row r="7" spans="2:18" ht="15" customHeight="1" thickBot="1" x14ac:dyDescent="0.4">
      <c r="B7" s="12"/>
      <c r="C7" s="13"/>
      <c r="D7" s="14"/>
      <c r="E7" s="12"/>
      <c r="F7" s="13"/>
      <c r="G7" s="14"/>
      <c r="H7" s="21"/>
      <c r="I7" s="22"/>
      <c r="J7" s="23"/>
      <c r="K7" s="30"/>
      <c r="L7" s="31"/>
      <c r="M7" s="32"/>
    </row>
    <row r="10" spans="2:18" x14ac:dyDescent="0.35">
      <c r="B10" s="4"/>
      <c r="C10" s="4"/>
      <c r="D10" s="4"/>
      <c r="E10" s="4"/>
      <c r="F10" s="4"/>
      <c r="G10" s="4"/>
      <c r="H10" s="4"/>
      <c r="I10" s="4"/>
      <c r="J10" s="4"/>
      <c r="K10" s="4"/>
      <c r="L10" s="4"/>
      <c r="M10" s="4"/>
      <c r="N10" s="4"/>
      <c r="O10" s="4"/>
      <c r="P10" s="4"/>
      <c r="Q10" s="4"/>
      <c r="R10" s="4"/>
    </row>
    <row r="11" spans="2:18" x14ac:dyDescent="0.35">
      <c r="B11" s="4"/>
      <c r="C11" s="4"/>
      <c r="D11" s="4"/>
      <c r="E11" s="4"/>
      <c r="F11" s="4"/>
      <c r="G11" s="4"/>
      <c r="H11" s="4"/>
      <c r="I11" s="4"/>
      <c r="J11" s="4"/>
      <c r="K11" s="4"/>
      <c r="L11" s="4"/>
      <c r="M11" s="4"/>
      <c r="N11" s="4"/>
      <c r="O11" s="4"/>
      <c r="P11" s="4"/>
      <c r="Q11" s="4"/>
      <c r="R11" s="4"/>
    </row>
    <row r="12" spans="2:18" x14ac:dyDescent="0.35">
      <c r="B12" s="4"/>
      <c r="C12" s="4"/>
      <c r="D12" s="4"/>
      <c r="E12" s="4"/>
      <c r="F12" s="4"/>
      <c r="G12" s="4"/>
      <c r="H12" s="4"/>
      <c r="I12" s="4"/>
      <c r="J12" s="4"/>
      <c r="K12" s="4"/>
      <c r="L12" s="4"/>
      <c r="M12" s="4"/>
      <c r="N12" s="4"/>
      <c r="O12" s="4"/>
      <c r="P12" s="4"/>
      <c r="Q12" s="4"/>
      <c r="R12" s="4"/>
    </row>
    <row r="13" spans="2:18" x14ac:dyDescent="0.35">
      <c r="B13" s="4"/>
      <c r="C13" s="4"/>
      <c r="D13" s="4"/>
      <c r="E13" s="4"/>
      <c r="F13" s="4"/>
      <c r="G13" s="4"/>
      <c r="H13" s="4"/>
      <c r="I13" s="4"/>
      <c r="J13" s="4"/>
      <c r="K13" s="4"/>
      <c r="L13" s="4"/>
      <c r="M13" s="4"/>
      <c r="N13" s="4"/>
      <c r="O13" s="4"/>
      <c r="P13" s="4"/>
      <c r="Q13" s="4"/>
      <c r="R13" s="4"/>
    </row>
    <row r="14" spans="2:18" x14ac:dyDescent="0.35">
      <c r="B14" s="4"/>
      <c r="C14" s="4"/>
      <c r="D14" s="4"/>
      <c r="E14" s="4"/>
      <c r="F14" s="4"/>
      <c r="G14" s="4"/>
      <c r="H14" s="4"/>
      <c r="I14" s="4"/>
      <c r="J14" s="4"/>
      <c r="K14" s="4"/>
      <c r="L14" s="4"/>
      <c r="M14" s="4"/>
      <c r="N14" s="4"/>
      <c r="O14" s="4"/>
      <c r="P14" s="4"/>
      <c r="Q14" s="4"/>
      <c r="R14" s="4"/>
    </row>
    <row r="15" spans="2:18" x14ac:dyDescent="0.35">
      <c r="B15" s="4"/>
      <c r="C15" s="4"/>
      <c r="D15" s="4"/>
      <c r="E15" s="4"/>
      <c r="F15" s="4"/>
      <c r="G15" s="4"/>
      <c r="H15" s="4"/>
      <c r="I15" s="4"/>
      <c r="J15" s="4"/>
      <c r="K15" s="4"/>
      <c r="L15" s="4"/>
      <c r="M15" s="4"/>
      <c r="N15" s="4"/>
      <c r="O15" s="4"/>
      <c r="P15" s="4"/>
      <c r="Q15" s="4"/>
      <c r="R15" s="4"/>
    </row>
    <row r="16" spans="2:18" x14ac:dyDescent="0.35">
      <c r="B16" s="4"/>
      <c r="C16" s="4"/>
      <c r="D16" s="4"/>
      <c r="E16" s="4"/>
      <c r="F16" s="4"/>
      <c r="G16" s="4"/>
      <c r="H16" s="4"/>
      <c r="I16" s="4"/>
      <c r="J16" s="4"/>
      <c r="K16" s="4"/>
      <c r="L16" s="4"/>
      <c r="M16" s="4"/>
      <c r="N16" s="4"/>
      <c r="O16" s="4"/>
      <c r="P16" s="4"/>
      <c r="Q16" s="4"/>
      <c r="R16" s="4"/>
    </row>
    <row r="17" spans="2:18" x14ac:dyDescent="0.35">
      <c r="B17" s="4"/>
      <c r="C17" s="4"/>
      <c r="D17" s="4"/>
      <c r="E17" s="4"/>
      <c r="F17" s="4"/>
      <c r="G17" s="4"/>
      <c r="H17" s="4"/>
      <c r="I17" s="4"/>
      <c r="J17" s="4"/>
      <c r="K17" s="4"/>
      <c r="L17" s="4"/>
      <c r="M17" s="4"/>
      <c r="N17" s="4"/>
      <c r="O17" s="4"/>
      <c r="P17" s="4"/>
      <c r="Q17" s="4"/>
      <c r="R17" s="4"/>
    </row>
    <row r="18" spans="2:18" x14ac:dyDescent="0.35">
      <c r="B18" s="4"/>
      <c r="C18" s="4"/>
      <c r="D18" s="4"/>
      <c r="E18" s="4"/>
      <c r="F18" s="4"/>
      <c r="G18" s="4"/>
      <c r="H18" s="4"/>
      <c r="I18" s="4"/>
      <c r="J18" s="4"/>
      <c r="K18" s="4"/>
      <c r="L18" s="4"/>
      <c r="M18" s="4"/>
      <c r="N18" s="4"/>
      <c r="O18" s="4"/>
      <c r="P18" s="4"/>
      <c r="Q18" s="4"/>
      <c r="R18" s="4"/>
    </row>
    <row r="19" spans="2:18" x14ac:dyDescent="0.35">
      <c r="B19" s="4"/>
      <c r="C19" s="4"/>
      <c r="D19" s="4"/>
      <c r="E19" s="4"/>
      <c r="F19" s="4"/>
      <c r="G19" s="4"/>
      <c r="H19" s="4"/>
      <c r="I19" s="4"/>
      <c r="J19" s="4"/>
      <c r="K19" s="4"/>
      <c r="L19" s="4"/>
      <c r="M19" s="4"/>
      <c r="N19" s="4"/>
      <c r="O19" s="4"/>
      <c r="P19" s="4"/>
      <c r="Q19" s="4"/>
      <c r="R19" s="4"/>
    </row>
    <row r="20" spans="2:18" x14ac:dyDescent="0.35">
      <c r="B20" s="4"/>
      <c r="C20" s="4"/>
      <c r="D20" s="4"/>
      <c r="E20" s="4"/>
      <c r="F20" s="4"/>
      <c r="G20" s="4"/>
      <c r="H20" s="4"/>
      <c r="I20" s="4"/>
      <c r="J20" s="4"/>
      <c r="K20" s="4"/>
      <c r="L20" s="4"/>
      <c r="M20" s="4"/>
      <c r="N20" s="4"/>
      <c r="O20" s="4"/>
      <c r="P20" s="4"/>
      <c r="Q20" s="4"/>
      <c r="R20" s="4"/>
    </row>
    <row r="21" spans="2:18" x14ac:dyDescent="0.35">
      <c r="B21" s="4"/>
      <c r="C21" s="4"/>
      <c r="D21" s="4"/>
      <c r="E21" s="4"/>
      <c r="F21" s="4"/>
      <c r="G21" s="4"/>
      <c r="H21" s="4"/>
      <c r="I21" s="4"/>
      <c r="J21" s="4"/>
      <c r="K21" s="4"/>
      <c r="L21" s="4"/>
      <c r="M21" s="4"/>
      <c r="N21" s="4"/>
      <c r="O21" s="4"/>
      <c r="P21" s="4"/>
      <c r="Q21" s="4"/>
      <c r="R21" s="4"/>
    </row>
    <row r="22" spans="2:18" x14ac:dyDescent="0.35">
      <c r="B22" s="4"/>
      <c r="C22" s="4"/>
      <c r="D22" s="4"/>
      <c r="E22" s="4"/>
      <c r="F22" s="4"/>
      <c r="G22" s="4"/>
      <c r="H22" s="4"/>
      <c r="I22" s="4"/>
      <c r="J22" s="4"/>
      <c r="K22" s="4"/>
      <c r="L22" s="4"/>
      <c r="M22" s="4"/>
      <c r="N22" s="4"/>
      <c r="O22" s="4"/>
      <c r="P22" s="4"/>
      <c r="Q22" s="4"/>
      <c r="R22" s="4"/>
    </row>
    <row r="23" spans="2:18" x14ac:dyDescent="0.35">
      <c r="B23" s="4"/>
      <c r="C23" s="4"/>
      <c r="D23" s="4"/>
      <c r="E23" s="4"/>
      <c r="F23" s="4"/>
      <c r="G23" s="4"/>
      <c r="H23" s="4"/>
      <c r="I23" s="4"/>
      <c r="J23" s="4"/>
      <c r="K23" s="4"/>
      <c r="L23" s="4"/>
      <c r="M23" s="4"/>
      <c r="N23" s="4"/>
      <c r="O23" s="4"/>
      <c r="P23" s="4"/>
      <c r="Q23" s="4"/>
      <c r="R23" s="4"/>
    </row>
    <row r="24" spans="2:18" x14ac:dyDescent="0.35">
      <c r="B24" s="4"/>
      <c r="C24" s="4"/>
      <c r="D24" s="4"/>
      <c r="E24" s="4"/>
      <c r="F24" s="4"/>
      <c r="G24" s="4"/>
      <c r="H24" s="4"/>
      <c r="I24" s="4"/>
      <c r="J24" s="4"/>
      <c r="K24" s="4"/>
      <c r="L24" s="4"/>
      <c r="M24" s="4"/>
      <c r="N24" s="4"/>
      <c r="O24" s="4"/>
      <c r="P24" s="4"/>
      <c r="Q24" s="4"/>
      <c r="R24" s="4"/>
    </row>
    <row r="25" spans="2:18" x14ac:dyDescent="0.35">
      <c r="B25" s="4"/>
      <c r="C25" s="4"/>
      <c r="D25" s="4"/>
      <c r="E25" s="4"/>
      <c r="F25" s="4"/>
      <c r="G25" s="4"/>
      <c r="H25" s="4"/>
      <c r="I25" s="4"/>
      <c r="J25" s="4"/>
      <c r="K25" s="4"/>
      <c r="L25" s="4"/>
      <c r="M25" s="4"/>
      <c r="N25" s="4"/>
      <c r="O25" s="4"/>
      <c r="P25" s="4"/>
      <c r="Q25" s="4"/>
      <c r="R25" s="4"/>
    </row>
    <row r="26" spans="2:18" x14ac:dyDescent="0.35">
      <c r="B26" s="4"/>
      <c r="C26" s="4"/>
      <c r="D26" s="4"/>
      <c r="E26" s="4"/>
      <c r="F26" s="4"/>
      <c r="G26" s="4"/>
      <c r="H26" s="4"/>
      <c r="I26" s="4"/>
      <c r="J26" s="4"/>
      <c r="K26" s="4"/>
      <c r="L26" s="4"/>
      <c r="M26" s="4"/>
      <c r="N26" s="4"/>
      <c r="O26" s="4"/>
      <c r="P26" s="4"/>
      <c r="Q26" s="4"/>
      <c r="R26" s="4"/>
    </row>
    <row r="27" spans="2:18" x14ac:dyDescent="0.35">
      <c r="B27" s="4"/>
      <c r="C27" s="4"/>
      <c r="D27" s="4"/>
      <c r="E27" s="4"/>
      <c r="F27" s="4"/>
      <c r="G27" s="4"/>
      <c r="H27" s="4"/>
      <c r="I27" s="4"/>
      <c r="J27" s="4"/>
      <c r="K27" s="4"/>
      <c r="L27" s="4"/>
      <c r="M27" s="4"/>
      <c r="N27" s="4"/>
      <c r="O27" s="4"/>
      <c r="P27" s="4"/>
      <c r="Q27" s="4"/>
      <c r="R27" s="4"/>
    </row>
    <row r="28" spans="2:18" x14ac:dyDescent="0.35">
      <c r="B28" s="4"/>
      <c r="C28" s="4"/>
      <c r="D28" s="4"/>
      <c r="E28" s="4"/>
      <c r="F28" s="4"/>
      <c r="G28" s="4"/>
      <c r="H28" s="4"/>
      <c r="I28" s="4"/>
      <c r="J28" s="4"/>
      <c r="K28" s="4"/>
      <c r="L28" s="4"/>
      <c r="M28" s="4"/>
      <c r="N28" s="4"/>
      <c r="O28" s="4"/>
      <c r="P28" s="4"/>
      <c r="Q28" s="4"/>
      <c r="R28" s="4"/>
    </row>
    <row r="29" spans="2:18" x14ac:dyDescent="0.35">
      <c r="B29" s="4"/>
      <c r="C29" s="4"/>
      <c r="D29" s="4"/>
      <c r="E29" s="4"/>
      <c r="F29" s="4"/>
      <c r="G29" s="4"/>
      <c r="H29" s="4"/>
      <c r="I29" s="4"/>
      <c r="J29" s="4"/>
      <c r="K29" s="4"/>
      <c r="L29" s="4"/>
      <c r="M29" s="4"/>
      <c r="N29" s="4"/>
      <c r="O29" s="4"/>
      <c r="P29" s="4"/>
      <c r="Q29" s="4"/>
      <c r="R29" s="4"/>
    </row>
    <row r="30" spans="2:18" x14ac:dyDescent="0.35">
      <c r="B30" s="4"/>
      <c r="C30" s="4"/>
      <c r="D30" s="4"/>
      <c r="E30" s="4"/>
      <c r="F30" s="4"/>
      <c r="G30" s="4"/>
      <c r="H30" s="4"/>
      <c r="I30" s="4"/>
      <c r="J30" s="4"/>
      <c r="K30" s="4"/>
      <c r="L30" s="4"/>
      <c r="M30" s="4"/>
      <c r="N30" s="4"/>
      <c r="O30" s="4"/>
      <c r="P30" s="4"/>
      <c r="Q30" s="4"/>
      <c r="R30" s="4"/>
    </row>
    <row r="31" spans="2:18" x14ac:dyDescent="0.35">
      <c r="B31" s="4"/>
      <c r="C31" s="4"/>
      <c r="D31" s="4"/>
      <c r="E31" s="4"/>
      <c r="F31" s="4"/>
      <c r="G31" s="4"/>
      <c r="H31" s="4"/>
      <c r="I31" s="4"/>
      <c r="J31" s="4"/>
      <c r="K31" s="4"/>
      <c r="L31" s="4"/>
      <c r="M31" s="4"/>
      <c r="N31" s="4"/>
      <c r="O31" s="4"/>
      <c r="P31" s="4"/>
      <c r="Q31" s="4"/>
      <c r="R31" s="4"/>
    </row>
    <row r="32" spans="2:18" x14ac:dyDescent="0.35">
      <c r="B32" s="4"/>
      <c r="C32" s="4"/>
      <c r="D32" s="4"/>
      <c r="E32" s="4"/>
      <c r="F32" s="4"/>
      <c r="G32" s="4"/>
      <c r="H32" s="4"/>
      <c r="I32" s="4"/>
      <c r="J32" s="4"/>
      <c r="K32" s="4"/>
      <c r="L32" s="4"/>
      <c r="M32" s="4"/>
      <c r="N32" s="4"/>
      <c r="O32" s="4"/>
      <c r="P32" s="4"/>
      <c r="Q32" s="4"/>
      <c r="R32" s="4"/>
    </row>
    <row r="33" spans="2:18" x14ac:dyDescent="0.35">
      <c r="B33" s="4"/>
      <c r="C33" s="4"/>
      <c r="D33" s="4"/>
      <c r="E33" s="4"/>
      <c r="F33" s="4"/>
      <c r="G33" s="4"/>
      <c r="H33" s="4"/>
      <c r="I33" s="4"/>
      <c r="J33" s="4"/>
      <c r="K33" s="4"/>
      <c r="L33" s="4"/>
      <c r="M33" s="4"/>
      <c r="N33" s="4"/>
      <c r="O33" s="4"/>
      <c r="P33" s="4"/>
      <c r="Q33" s="4"/>
      <c r="R33" s="4"/>
    </row>
    <row r="34" spans="2:18" x14ac:dyDescent="0.35">
      <c r="B34" s="4"/>
      <c r="C34" s="4"/>
      <c r="D34" s="4"/>
      <c r="E34" s="4"/>
      <c r="F34" s="4"/>
      <c r="G34" s="4"/>
      <c r="H34" s="4"/>
      <c r="I34" s="4"/>
      <c r="J34" s="4"/>
      <c r="K34" s="4"/>
      <c r="L34" s="4"/>
      <c r="M34" s="4"/>
      <c r="N34" s="4"/>
      <c r="O34" s="4"/>
      <c r="P34" s="4"/>
      <c r="Q34" s="4"/>
      <c r="R34" s="4"/>
    </row>
    <row r="35" spans="2:18" x14ac:dyDescent="0.35">
      <c r="B35" s="4"/>
      <c r="C35" s="4"/>
      <c r="D35" s="4"/>
      <c r="E35" s="4"/>
      <c r="F35" s="4"/>
      <c r="G35" s="4"/>
      <c r="H35" s="4"/>
      <c r="I35" s="4"/>
      <c r="J35" s="4"/>
      <c r="K35" s="4"/>
      <c r="L35" s="4"/>
      <c r="M35" s="4"/>
      <c r="N35" s="4"/>
      <c r="O35" s="4"/>
      <c r="P35" s="4"/>
      <c r="Q35" s="4"/>
      <c r="R35" s="4"/>
    </row>
    <row r="36" spans="2:18" x14ac:dyDescent="0.35">
      <c r="B36" s="4"/>
      <c r="C36" s="4"/>
      <c r="D36" s="4"/>
      <c r="E36" s="4"/>
      <c r="F36" s="4"/>
      <c r="G36" s="4"/>
      <c r="H36" s="4"/>
      <c r="I36" s="4"/>
      <c r="J36" s="4"/>
      <c r="K36" s="4"/>
      <c r="L36" s="4"/>
      <c r="M36" s="4"/>
      <c r="N36" s="4"/>
      <c r="O36" s="4"/>
      <c r="P36" s="4"/>
      <c r="Q36" s="4"/>
      <c r="R36" s="4"/>
    </row>
    <row r="37" spans="2:18" x14ac:dyDescent="0.35">
      <c r="B37" s="4"/>
      <c r="C37" s="4"/>
      <c r="D37" s="4"/>
      <c r="E37" s="4"/>
      <c r="F37" s="4"/>
      <c r="G37" s="4"/>
      <c r="H37" s="4"/>
      <c r="I37" s="4"/>
      <c r="J37" s="4"/>
      <c r="K37" s="4"/>
      <c r="L37" s="4"/>
      <c r="M37" s="4"/>
      <c r="N37" s="4"/>
      <c r="O37" s="4"/>
      <c r="P37" s="4"/>
      <c r="Q37" s="4"/>
      <c r="R37" s="4"/>
    </row>
    <row r="38" spans="2:18" x14ac:dyDescent="0.35">
      <c r="B38" s="4"/>
      <c r="C38" s="4"/>
      <c r="D38" s="4"/>
      <c r="E38" s="4"/>
      <c r="F38" s="4"/>
      <c r="G38" s="4"/>
      <c r="H38" s="4"/>
      <c r="I38" s="4"/>
      <c r="J38" s="4"/>
      <c r="K38" s="4"/>
      <c r="L38" s="4"/>
      <c r="M38" s="4"/>
      <c r="N38" s="4"/>
      <c r="O38" s="4"/>
      <c r="P38" s="4"/>
      <c r="Q38" s="4"/>
      <c r="R38" s="4"/>
    </row>
    <row r="39" spans="2:18" x14ac:dyDescent="0.35">
      <c r="B39" s="4"/>
      <c r="C39" s="4"/>
      <c r="D39" s="4"/>
      <c r="E39" s="4"/>
      <c r="F39" s="4"/>
      <c r="G39" s="4"/>
      <c r="H39" s="4"/>
      <c r="I39" s="4"/>
      <c r="J39" s="4"/>
      <c r="K39" s="4"/>
      <c r="L39" s="4"/>
      <c r="M39" s="4"/>
      <c r="N39" s="4"/>
      <c r="O39" s="4"/>
      <c r="P39" s="4"/>
      <c r="Q39" s="4"/>
      <c r="R39" s="4"/>
    </row>
    <row r="40" spans="2:18" x14ac:dyDescent="0.35">
      <c r="B40" s="4"/>
      <c r="C40" s="4"/>
      <c r="D40" s="4"/>
      <c r="E40" s="4"/>
      <c r="F40" s="4"/>
      <c r="G40" s="4"/>
      <c r="H40" s="4"/>
      <c r="I40" s="4"/>
      <c r="J40" s="4"/>
      <c r="K40" s="4"/>
      <c r="L40" s="4"/>
      <c r="M40" s="4"/>
      <c r="N40" s="4"/>
      <c r="O40" s="4"/>
      <c r="P40" s="4"/>
      <c r="Q40" s="4"/>
      <c r="R40" s="4"/>
    </row>
    <row r="41" spans="2:18" x14ac:dyDescent="0.35">
      <c r="B41" s="4"/>
      <c r="C41" s="4"/>
      <c r="D41" s="4"/>
      <c r="E41" s="4"/>
      <c r="F41" s="4"/>
      <c r="G41" s="4"/>
      <c r="H41" s="4"/>
      <c r="I41" s="4"/>
      <c r="J41" s="4"/>
      <c r="K41" s="4"/>
      <c r="L41" s="4"/>
      <c r="M41" s="4"/>
      <c r="N41" s="4"/>
      <c r="O41" s="4"/>
      <c r="P41" s="4"/>
      <c r="Q41" s="4"/>
      <c r="R41" s="4"/>
    </row>
    <row r="42" spans="2:18" x14ac:dyDescent="0.35">
      <c r="B42" s="4"/>
      <c r="C42" s="4"/>
      <c r="D42" s="4"/>
      <c r="E42" s="4"/>
      <c r="F42" s="4"/>
      <c r="G42" s="4"/>
      <c r="H42" s="4"/>
      <c r="I42" s="4"/>
      <c r="J42" s="4"/>
      <c r="K42" s="4"/>
      <c r="L42" s="4"/>
      <c r="M42" s="4"/>
      <c r="N42" s="4"/>
      <c r="O42" s="4"/>
      <c r="P42" s="4"/>
      <c r="Q42" s="4"/>
      <c r="R42" s="4"/>
    </row>
  </sheetData>
  <mergeCells count="10">
    <mergeCell ref="B10:R42"/>
    <mergeCell ref="B2:N3"/>
    <mergeCell ref="B5:D7"/>
    <mergeCell ref="E5:G7"/>
    <mergeCell ref="H5:J7"/>
    <mergeCell ref="K5:M7"/>
    <mergeCell ref="B4:D4"/>
    <mergeCell ref="E4:G4"/>
    <mergeCell ref="H4:J4"/>
    <mergeCell ref="K4:M4"/>
  </mergeCells>
  <pageMargins left="0.7" right="0.7" top="0.75" bottom="0.75" header="0.3" footer="0.3"/>
  <pageSetup paperSize="9" orientation="portrait" verticalDpi="0"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3EB17-FA14-472A-8FBA-7300FD03115D}">
  <dimension ref="A1:C173"/>
  <sheetViews>
    <sheetView workbookViewId="0">
      <selection activeCell="B12" sqref="B12"/>
    </sheetView>
  </sheetViews>
  <sheetFormatPr defaultRowHeight="14.5" x14ac:dyDescent="0.35"/>
  <cols>
    <col min="1" max="1" width="12.81640625" bestFit="1" customWidth="1"/>
    <col min="2" max="2" width="21.54296875" bestFit="1" customWidth="1"/>
    <col min="3" max="3" width="13" bestFit="1" customWidth="1"/>
  </cols>
  <sheetData>
    <row r="1" spans="1:3" x14ac:dyDescent="0.35">
      <c r="A1" t="s">
        <v>175</v>
      </c>
      <c r="B1" t="s">
        <v>0</v>
      </c>
      <c r="C1" t="s">
        <v>180</v>
      </c>
    </row>
    <row r="2" spans="1:3" x14ac:dyDescent="0.35">
      <c r="A2">
        <v>1</v>
      </c>
      <c r="B2" t="s">
        <v>3</v>
      </c>
      <c r="C2" t="s">
        <v>181</v>
      </c>
    </row>
    <row r="3" spans="1:3" x14ac:dyDescent="0.35">
      <c r="A3">
        <v>2</v>
      </c>
      <c r="B3" t="s">
        <v>4</v>
      </c>
      <c r="C3" t="s">
        <v>181</v>
      </c>
    </row>
    <row r="4" spans="1:3" x14ac:dyDescent="0.35">
      <c r="A4">
        <v>3</v>
      </c>
      <c r="B4" t="s">
        <v>5</v>
      </c>
      <c r="C4" t="s">
        <v>181</v>
      </c>
    </row>
    <row r="5" spans="1:3" x14ac:dyDescent="0.35">
      <c r="A5">
        <v>4</v>
      </c>
      <c r="B5" t="s">
        <v>6</v>
      </c>
      <c r="C5" t="s">
        <v>181</v>
      </c>
    </row>
    <row r="6" spans="1:3" x14ac:dyDescent="0.35">
      <c r="A6">
        <v>5</v>
      </c>
      <c r="B6" t="s">
        <v>7</v>
      </c>
      <c r="C6" t="s">
        <v>181</v>
      </c>
    </row>
    <row r="7" spans="1:3" x14ac:dyDescent="0.35">
      <c r="A7">
        <v>6</v>
      </c>
      <c r="B7" t="s">
        <v>8</v>
      </c>
      <c r="C7" t="s">
        <v>181</v>
      </c>
    </row>
    <row r="8" spans="1:3" x14ac:dyDescent="0.35">
      <c r="A8">
        <v>7</v>
      </c>
      <c r="B8" t="s">
        <v>9</v>
      </c>
      <c r="C8" t="s">
        <v>181</v>
      </c>
    </row>
    <row r="9" spans="1:3" x14ac:dyDescent="0.35">
      <c r="A9">
        <v>8</v>
      </c>
      <c r="B9" t="s">
        <v>10</v>
      </c>
      <c r="C9" t="s">
        <v>181</v>
      </c>
    </row>
    <row r="10" spans="1:3" x14ac:dyDescent="0.35">
      <c r="A10">
        <v>9</v>
      </c>
      <c r="B10" t="s">
        <v>11</v>
      </c>
      <c r="C10" t="s">
        <v>181</v>
      </c>
    </row>
    <row r="11" spans="1:3" x14ac:dyDescent="0.35">
      <c r="A11">
        <v>10</v>
      </c>
      <c r="B11" t="s">
        <v>12</v>
      </c>
      <c r="C11" t="s">
        <v>181</v>
      </c>
    </row>
    <row r="12" spans="1:3" x14ac:dyDescent="0.35">
      <c r="A12">
        <v>11</v>
      </c>
      <c r="B12" t="s">
        <v>13</v>
      </c>
      <c r="C12" t="s">
        <v>181</v>
      </c>
    </row>
    <row r="13" spans="1:3" x14ac:dyDescent="0.35">
      <c r="A13">
        <v>12</v>
      </c>
      <c r="B13" t="s">
        <v>14</v>
      </c>
      <c r="C13" t="s">
        <v>181</v>
      </c>
    </row>
    <row r="14" spans="1:3" x14ac:dyDescent="0.35">
      <c r="A14">
        <v>13</v>
      </c>
      <c r="B14" t="s">
        <v>15</v>
      </c>
      <c r="C14" t="s">
        <v>181</v>
      </c>
    </row>
    <row r="15" spans="1:3" x14ac:dyDescent="0.35">
      <c r="A15">
        <v>14</v>
      </c>
      <c r="B15" t="s">
        <v>16</v>
      </c>
      <c r="C15" t="s">
        <v>181</v>
      </c>
    </row>
    <row r="16" spans="1:3" x14ac:dyDescent="0.35">
      <c r="A16">
        <v>15</v>
      </c>
      <c r="B16" t="s">
        <v>17</v>
      </c>
      <c r="C16" t="s">
        <v>181</v>
      </c>
    </row>
    <row r="17" spans="1:3" x14ac:dyDescent="0.35">
      <c r="A17">
        <v>16</v>
      </c>
      <c r="B17" t="s">
        <v>18</v>
      </c>
      <c r="C17" t="s">
        <v>181</v>
      </c>
    </row>
    <row r="18" spans="1:3" x14ac:dyDescent="0.35">
      <c r="A18">
        <v>17</v>
      </c>
      <c r="B18" t="s">
        <v>19</v>
      </c>
      <c r="C18" t="s">
        <v>181</v>
      </c>
    </row>
    <row r="19" spans="1:3" x14ac:dyDescent="0.35">
      <c r="A19">
        <v>18</v>
      </c>
      <c r="B19" t="s">
        <v>20</v>
      </c>
      <c r="C19" t="s">
        <v>181</v>
      </c>
    </row>
    <row r="20" spans="1:3" x14ac:dyDescent="0.35">
      <c r="A20">
        <v>19</v>
      </c>
      <c r="B20" t="s">
        <v>21</v>
      </c>
      <c r="C20" t="s">
        <v>181</v>
      </c>
    </row>
    <row r="21" spans="1:3" x14ac:dyDescent="0.35">
      <c r="A21">
        <v>20</v>
      </c>
      <c r="B21" t="s">
        <v>22</v>
      </c>
      <c r="C21" t="s">
        <v>181</v>
      </c>
    </row>
    <row r="22" spans="1:3" x14ac:dyDescent="0.35">
      <c r="A22">
        <v>21</v>
      </c>
      <c r="B22" t="s">
        <v>23</v>
      </c>
      <c r="C22" t="s">
        <v>181</v>
      </c>
    </row>
    <row r="23" spans="1:3" x14ac:dyDescent="0.35">
      <c r="A23">
        <v>22</v>
      </c>
      <c r="B23" t="s">
        <v>24</v>
      </c>
      <c r="C23" t="s">
        <v>181</v>
      </c>
    </row>
    <row r="24" spans="1:3" x14ac:dyDescent="0.35">
      <c r="A24">
        <v>23</v>
      </c>
      <c r="B24" t="s">
        <v>25</v>
      </c>
      <c r="C24" t="s">
        <v>181</v>
      </c>
    </row>
    <row r="25" spans="1:3" x14ac:dyDescent="0.35">
      <c r="A25">
        <v>24</v>
      </c>
      <c r="B25" t="s">
        <v>26</v>
      </c>
      <c r="C25" t="s">
        <v>181</v>
      </c>
    </row>
    <row r="26" spans="1:3" x14ac:dyDescent="0.35">
      <c r="A26">
        <v>25</v>
      </c>
      <c r="B26" t="s">
        <v>27</v>
      </c>
      <c r="C26" t="s">
        <v>181</v>
      </c>
    </row>
    <row r="27" spans="1:3" x14ac:dyDescent="0.35">
      <c r="A27">
        <v>26</v>
      </c>
      <c r="B27" t="s">
        <v>28</v>
      </c>
      <c r="C27" t="s">
        <v>181</v>
      </c>
    </row>
    <row r="28" spans="1:3" x14ac:dyDescent="0.35">
      <c r="A28">
        <v>27</v>
      </c>
      <c r="B28" t="s">
        <v>29</v>
      </c>
      <c r="C28" t="s">
        <v>181</v>
      </c>
    </row>
    <row r="29" spans="1:3" x14ac:dyDescent="0.35">
      <c r="A29">
        <v>28</v>
      </c>
      <c r="B29" t="s">
        <v>30</v>
      </c>
      <c r="C29" t="s">
        <v>181</v>
      </c>
    </row>
    <row r="30" spans="1:3" x14ac:dyDescent="0.35">
      <c r="A30">
        <v>29</v>
      </c>
      <c r="B30" t="s">
        <v>31</v>
      </c>
      <c r="C30" t="s">
        <v>181</v>
      </c>
    </row>
    <row r="31" spans="1:3" x14ac:dyDescent="0.35">
      <c r="A31">
        <v>30</v>
      </c>
      <c r="B31" t="s">
        <v>32</v>
      </c>
      <c r="C31" t="s">
        <v>181</v>
      </c>
    </row>
    <row r="32" spans="1:3" x14ac:dyDescent="0.35">
      <c r="A32">
        <v>31</v>
      </c>
      <c r="B32" t="s">
        <v>33</v>
      </c>
      <c r="C32" t="s">
        <v>181</v>
      </c>
    </row>
    <row r="33" spans="1:3" x14ac:dyDescent="0.35">
      <c r="A33">
        <v>32</v>
      </c>
      <c r="B33" t="s">
        <v>34</v>
      </c>
      <c r="C33" t="s">
        <v>181</v>
      </c>
    </row>
    <row r="34" spans="1:3" x14ac:dyDescent="0.35">
      <c r="A34">
        <v>33</v>
      </c>
      <c r="B34" t="s">
        <v>35</v>
      </c>
      <c r="C34" t="s">
        <v>181</v>
      </c>
    </row>
    <row r="35" spans="1:3" x14ac:dyDescent="0.35">
      <c r="A35">
        <v>34</v>
      </c>
      <c r="B35" t="s">
        <v>36</v>
      </c>
      <c r="C35" t="s">
        <v>181</v>
      </c>
    </row>
    <row r="36" spans="1:3" x14ac:dyDescent="0.35">
      <c r="A36">
        <v>35</v>
      </c>
      <c r="B36" t="s">
        <v>37</v>
      </c>
      <c r="C36" t="s">
        <v>181</v>
      </c>
    </row>
    <row r="37" spans="1:3" x14ac:dyDescent="0.35">
      <c r="A37">
        <v>36</v>
      </c>
      <c r="B37" t="s">
        <v>38</v>
      </c>
      <c r="C37" t="s">
        <v>181</v>
      </c>
    </row>
    <row r="38" spans="1:3" x14ac:dyDescent="0.35">
      <c r="A38">
        <v>37</v>
      </c>
      <c r="B38" t="s">
        <v>39</v>
      </c>
      <c r="C38" t="s">
        <v>181</v>
      </c>
    </row>
    <row r="39" spans="1:3" x14ac:dyDescent="0.35">
      <c r="A39">
        <v>38</v>
      </c>
      <c r="B39" t="s">
        <v>40</v>
      </c>
      <c r="C39" t="s">
        <v>181</v>
      </c>
    </row>
    <row r="40" spans="1:3" x14ac:dyDescent="0.35">
      <c r="A40">
        <v>39</v>
      </c>
      <c r="B40" t="s">
        <v>41</v>
      </c>
      <c r="C40" t="s">
        <v>181</v>
      </c>
    </row>
    <row r="41" spans="1:3" x14ac:dyDescent="0.35">
      <c r="A41">
        <v>40</v>
      </c>
      <c r="B41" t="s">
        <v>42</v>
      </c>
      <c r="C41" t="s">
        <v>181</v>
      </c>
    </row>
    <row r="42" spans="1:3" x14ac:dyDescent="0.35">
      <c r="A42">
        <v>41</v>
      </c>
      <c r="B42" t="s">
        <v>43</v>
      </c>
      <c r="C42" t="s">
        <v>181</v>
      </c>
    </row>
    <row r="43" spans="1:3" x14ac:dyDescent="0.35">
      <c r="A43">
        <v>42</v>
      </c>
      <c r="B43" t="s">
        <v>44</v>
      </c>
      <c r="C43" t="s">
        <v>181</v>
      </c>
    </row>
    <row r="44" spans="1:3" x14ac:dyDescent="0.35">
      <c r="A44">
        <v>43</v>
      </c>
      <c r="B44" t="s">
        <v>45</v>
      </c>
      <c r="C44" t="s">
        <v>181</v>
      </c>
    </row>
    <row r="45" spans="1:3" x14ac:dyDescent="0.35">
      <c r="A45">
        <v>44</v>
      </c>
      <c r="B45" t="s">
        <v>46</v>
      </c>
      <c r="C45" t="s">
        <v>181</v>
      </c>
    </row>
    <row r="46" spans="1:3" x14ac:dyDescent="0.35">
      <c r="A46">
        <v>45</v>
      </c>
      <c r="B46" t="s">
        <v>47</v>
      </c>
      <c r="C46" t="s">
        <v>181</v>
      </c>
    </row>
    <row r="47" spans="1:3" x14ac:dyDescent="0.35">
      <c r="A47">
        <v>46</v>
      </c>
      <c r="B47" t="s">
        <v>48</v>
      </c>
      <c r="C47" t="s">
        <v>182</v>
      </c>
    </row>
    <row r="48" spans="1:3" x14ac:dyDescent="0.35">
      <c r="A48">
        <v>47</v>
      </c>
      <c r="B48" t="s">
        <v>49</v>
      </c>
      <c r="C48" t="s">
        <v>181</v>
      </c>
    </row>
    <row r="49" spans="1:3" x14ac:dyDescent="0.35">
      <c r="A49">
        <v>48</v>
      </c>
      <c r="B49" t="s">
        <v>50</v>
      </c>
      <c r="C49" t="s">
        <v>181</v>
      </c>
    </row>
    <row r="50" spans="1:3" x14ac:dyDescent="0.35">
      <c r="A50">
        <v>49</v>
      </c>
      <c r="B50" t="s">
        <v>51</v>
      </c>
      <c r="C50" t="s">
        <v>181</v>
      </c>
    </row>
    <row r="51" spans="1:3" x14ac:dyDescent="0.35">
      <c r="A51">
        <v>50</v>
      </c>
      <c r="B51" t="s">
        <v>52</v>
      </c>
      <c r="C51" t="s">
        <v>181</v>
      </c>
    </row>
    <row r="52" spans="1:3" x14ac:dyDescent="0.35">
      <c r="A52">
        <v>51</v>
      </c>
      <c r="B52" t="s">
        <v>53</v>
      </c>
      <c r="C52" t="s">
        <v>181</v>
      </c>
    </row>
    <row r="53" spans="1:3" x14ac:dyDescent="0.35">
      <c r="A53">
        <v>52</v>
      </c>
      <c r="B53" t="s">
        <v>54</v>
      </c>
      <c r="C53" t="s">
        <v>182</v>
      </c>
    </row>
    <row r="54" spans="1:3" x14ac:dyDescent="0.35">
      <c r="A54">
        <v>53</v>
      </c>
      <c r="B54" t="s">
        <v>55</v>
      </c>
      <c r="C54" t="s">
        <v>183</v>
      </c>
    </row>
    <row r="55" spans="1:3" x14ac:dyDescent="0.35">
      <c r="A55">
        <v>54</v>
      </c>
      <c r="B55" t="s">
        <v>56</v>
      </c>
      <c r="C55" t="s">
        <v>183</v>
      </c>
    </row>
    <row r="56" spans="1:3" x14ac:dyDescent="0.35">
      <c r="A56">
        <v>55</v>
      </c>
      <c r="B56" t="s">
        <v>57</v>
      </c>
      <c r="C56" t="s">
        <v>183</v>
      </c>
    </row>
    <row r="57" spans="1:3" x14ac:dyDescent="0.35">
      <c r="A57">
        <v>56</v>
      </c>
      <c r="B57" t="s">
        <v>58</v>
      </c>
      <c r="C57" t="s">
        <v>183</v>
      </c>
    </row>
    <row r="58" spans="1:3" x14ac:dyDescent="0.35">
      <c r="A58">
        <v>57</v>
      </c>
      <c r="B58" t="s">
        <v>59</v>
      </c>
      <c r="C58" t="s">
        <v>183</v>
      </c>
    </row>
    <row r="59" spans="1:3" x14ac:dyDescent="0.35">
      <c r="A59">
        <v>58</v>
      </c>
      <c r="B59" t="s">
        <v>60</v>
      </c>
      <c r="C59" t="s">
        <v>183</v>
      </c>
    </row>
    <row r="60" spans="1:3" x14ac:dyDescent="0.35">
      <c r="A60">
        <v>59</v>
      </c>
      <c r="B60" t="s">
        <v>61</v>
      </c>
      <c r="C60" t="s">
        <v>183</v>
      </c>
    </row>
    <row r="61" spans="1:3" x14ac:dyDescent="0.35">
      <c r="A61">
        <v>60</v>
      </c>
      <c r="B61" t="s">
        <v>62</v>
      </c>
      <c r="C61" t="s">
        <v>183</v>
      </c>
    </row>
    <row r="62" spans="1:3" x14ac:dyDescent="0.35">
      <c r="A62">
        <v>61</v>
      </c>
      <c r="B62" t="s">
        <v>63</v>
      </c>
      <c r="C62" t="s">
        <v>183</v>
      </c>
    </row>
    <row r="63" spans="1:3" x14ac:dyDescent="0.35">
      <c r="A63">
        <v>62</v>
      </c>
      <c r="B63" t="s">
        <v>64</v>
      </c>
      <c r="C63" t="s">
        <v>183</v>
      </c>
    </row>
    <row r="64" spans="1:3" x14ac:dyDescent="0.35">
      <c r="A64">
        <v>63</v>
      </c>
      <c r="B64" t="s">
        <v>65</v>
      </c>
      <c r="C64" t="s">
        <v>183</v>
      </c>
    </row>
    <row r="65" spans="1:3" x14ac:dyDescent="0.35">
      <c r="A65">
        <v>64</v>
      </c>
      <c r="B65" t="s">
        <v>66</v>
      </c>
      <c r="C65" t="s">
        <v>183</v>
      </c>
    </row>
    <row r="66" spans="1:3" x14ac:dyDescent="0.35">
      <c r="A66">
        <v>65</v>
      </c>
      <c r="B66" t="s">
        <v>67</v>
      </c>
      <c r="C66" t="s">
        <v>183</v>
      </c>
    </row>
    <row r="67" spans="1:3" x14ac:dyDescent="0.35">
      <c r="A67">
        <v>66</v>
      </c>
      <c r="B67" t="s">
        <v>68</v>
      </c>
      <c r="C67" t="s">
        <v>183</v>
      </c>
    </row>
    <row r="68" spans="1:3" x14ac:dyDescent="0.35">
      <c r="A68">
        <v>67</v>
      </c>
      <c r="B68" t="s">
        <v>69</v>
      </c>
      <c r="C68" t="s">
        <v>184</v>
      </c>
    </row>
    <row r="69" spans="1:3" x14ac:dyDescent="0.35">
      <c r="A69">
        <v>68</v>
      </c>
      <c r="B69" t="s">
        <v>70</v>
      </c>
      <c r="C69" t="s">
        <v>184</v>
      </c>
    </row>
    <row r="70" spans="1:3" x14ac:dyDescent="0.35">
      <c r="A70">
        <v>69</v>
      </c>
      <c r="B70" t="s">
        <v>71</v>
      </c>
      <c r="C70" t="s">
        <v>184</v>
      </c>
    </row>
    <row r="71" spans="1:3" x14ac:dyDescent="0.35">
      <c r="A71">
        <v>70</v>
      </c>
      <c r="B71" t="s">
        <v>72</v>
      </c>
      <c r="C71" t="s">
        <v>184</v>
      </c>
    </row>
    <row r="72" spans="1:3" x14ac:dyDescent="0.35">
      <c r="A72">
        <v>71</v>
      </c>
      <c r="B72" t="s">
        <v>73</v>
      </c>
      <c r="C72" t="s">
        <v>184</v>
      </c>
    </row>
    <row r="73" spans="1:3" x14ac:dyDescent="0.35">
      <c r="A73">
        <v>72</v>
      </c>
      <c r="B73" t="s">
        <v>74</v>
      </c>
      <c r="C73" t="s">
        <v>184</v>
      </c>
    </row>
    <row r="74" spans="1:3" x14ac:dyDescent="0.35">
      <c r="A74">
        <v>73</v>
      </c>
      <c r="B74" t="s">
        <v>75</v>
      </c>
      <c r="C74" t="s">
        <v>184</v>
      </c>
    </row>
    <row r="75" spans="1:3" x14ac:dyDescent="0.35">
      <c r="A75">
        <v>74</v>
      </c>
      <c r="B75" t="s">
        <v>76</v>
      </c>
      <c r="C75" t="s">
        <v>184</v>
      </c>
    </row>
    <row r="76" spans="1:3" x14ac:dyDescent="0.35">
      <c r="A76">
        <v>75</v>
      </c>
      <c r="B76" t="s">
        <v>77</v>
      </c>
      <c r="C76" t="s">
        <v>184</v>
      </c>
    </row>
    <row r="77" spans="1:3" x14ac:dyDescent="0.35">
      <c r="A77">
        <v>76</v>
      </c>
      <c r="B77" t="s">
        <v>78</v>
      </c>
      <c r="C77" t="s">
        <v>184</v>
      </c>
    </row>
    <row r="78" spans="1:3" x14ac:dyDescent="0.35">
      <c r="A78">
        <v>77</v>
      </c>
      <c r="B78" t="s">
        <v>79</v>
      </c>
      <c r="C78" t="s">
        <v>184</v>
      </c>
    </row>
    <row r="79" spans="1:3" x14ac:dyDescent="0.35">
      <c r="A79">
        <v>78</v>
      </c>
      <c r="B79" t="s">
        <v>80</v>
      </c>
      <c r="C79" t="s">
        <v>185</v>
      </c>
    </row>
    <row r="80" spans="1:3" x14ac:dyDescent="0.35">
      <c r="A80">
        <v>79</v>
      </c>
      <c r="B80" t="s">
        <v>81</v>
      </c>
      <c r="C80" t="s">
        <v>185</v>
      </c>
    </row>
    <row r="81" spans="1:3" x14ac:dyDescent="0.35">
      <c r="A81">
        <v>80</v>
      </c>
      <c r="B81" t="s">
        <v>82</v>
      </c>
      <c r="C81" t="s">
        <v>185</v>
      </c>
    </row>
    <row r="82" spans="1:3" x14ac:dyDescent="0.35">
      <c r="A82">
        <v>81</v>
      </c>
      <c r="B82" t="s">
        <v>83</v>
      </c>
      <c r="C82" t="s">
        <v>185</v>
      </c>
    </row>
    <row r="83" spans="1:3" x14ac:dyDescent="0.35">
      <c r="A83">
        <v>82</v>
      </c>
      <c r="B83" t="s">
        <v>84</v>
      </c>
      <c r="C83" t="s">
        <v>186</v>
      </c>
    </row>
    <row r="84" spans="1:3" x14ac:dyDescent="0.35">
      <c r="A84">
        <v>83</v>
      </c>
      <c r="B84" t="s">
        <v>85</v>
      </c>
      <c r="C84" t="s">
        <v>186</v>
      </c>
    </row>
    <row r="85" spans="1:3" x14ac:dyDescent="0.35">
      <c r="A85">
        <v>84</v>
      </c>
      <c r="B85" t="s">
        <v>86</v>
      </c>
      <c r="C85" t="s">
        <v>186</v>
      </c>
    </row>
    <row r="86" spans="1:3" x14ac:dyDescent="0.35">
      <c r="A86">
        <v>85</v>
      </c>
      <c r="B86" t="s">
        <v>87</v>
      </c>
      <c r="C86" t="s">
        <v>186</v>
      </c>
    </row>
    <row r="87" spans="1:3" x14ac:dyDescent="0.35">
      <c r="A87">
        <v>86</v>
      </c>
      <c r="B87" t="s">
        <v>88</v>
      </c>
      <c r="C87" t="s">
        <v>186</v>
      </c>
    </row>
    <row r="88" spans="1:3" x14ac:dyDescent="0.35">
      <c r="A88">
        <v>87</v>
      </c>
      <c r="B88" t="s">
        <v>89</v>
      </c>
      <c r="C88" t="s">
        <v>186</v>
      </c>
    </row>
    <row r="89" spans="1:3" x14ac:dyDescent="0.35">
      <c r="A89">
        <v>88</v>
      </c>
      <c r="B89" t="s">
        <v>90</v>
      </c>
      <c r="C89" t="s">
        <v>186</v>
      </c>
    </row>
    <row r="90" spans="1:3" x14ac:dyDescent="0.35">
      <c r="A90">
        <v>89</v>
      </c>
      <c r="B90" t="s">
        <v>91</v>
      </c>
      <c r="C90" t="s">
        <v>186</v>
      </c>
    </row>
    <row r="91" spans="1:3" x14ac:dyDescent="0.35">
      <c r="A91">
        <v>90</v>
      </c>
      <c r="B91" t="s">
        <v>92</v>
      </c>
      <c r="C91" t="s">
        <v>182</v>
      </c>
    </row>
    <row r="92" spans="1:3" x14ac:dyDescent="0.35">
      <c r="A92">
        <v>91</v>
      </c>
      <c r="B92" t="s">
        <v>93</v>
      </c>
      <c r="C92" t="s">
        <v>182</v>
      </c>
    </row>
    <row r="93" spans="1:3" x14ac:dyDescent="0.35">
      <c r="A93">
        <v>92</v>
      </c>
      <c r="B93" t="s">
        <v>94</v>
      </c>
      <c r="C93" t="s">
        <v>186</v>
      </c>
    </row>
    <row r="94" spans="1:3" x14ac:dyDescent="0.35">
      <c r="A94">
        <v>93</v>
      </c>
      <c r="B94" t="s">
        <v>95</v>
      </c>
      <c r="C94" t="s">
        <v>186</v>
      </c>
    </row>
    <row r="95" spans="1:3" x14ac:dyDescent="0.35">
      <c r="A95">
        <v>94</v>
      </c>
      <c r="B95" t="s">
        <v>96</v>
      </c>
      <c r="C95" t="s">
        <v>186</v>
      </c>
    </row>
    <row r="96" spans="1:3" x14ac:dyDescent="0.35">
      <c r="A96">
        <v>95</v>
      </c>
      <c r="B96" t="s">
        <v>97</v>
      </c>
      <c r="C96" t="s">
        <v>186</v>
      </c>
    </row>
    <row r="97" spans="1:3" x14ac:dyDescent="0.35">
      <c r="A97">
        <v>96</v>
      </c>
      <c r="B97" t="s">
        <v>98</v>
      </c>
      <c r="C97" t="s">
        <v>186</v>
      </c>
    </row>
    <row r="98" spans="1:3" x14ac:dyDescent="0.35">
      <c r="A98">
        <v>97</v>
      </c>
      <c r="B98" t="s">
        <v>99</v>
      </c>
      <c r="C98" t="s">
        <v>186</v>
      </c>
    </row>
    <row r="99" spans="1:3" x14ac:dyDescent="0.35">
      <c r="A99">
        <v>98</v>
      </c>
      <c r="B99" t="s">
        <v>100</v>
      </c>
      <c r="C99" t="s">
        <v>186</v>
      </c>
    </row>
    <row r="100" spans="1:3" x14ac:dyDescent="0.35">
      <c r="A100">
        <v>99</v>
      </c>
      <c r="B100" t="s">
        <v>101</v>
      </c>
      <c r="C100" t="s">
        <v>186</v>
      </c>
    </row>
    <row r="101" spans="1:3" x14ac:dyDescent="0.35">
      <c r="A101">
        <v>100</v>
      </c>
      <c r="B101" t="s">
        <v>102</v>
      </c>
      <c r="C101" t="s">
        <v>186</v>
      </c>
    </row>
    <row r="102" spans="1:3" x14ac:dyDescent="0.35">
      <c r="A102">
        <v>101</v>
      </c>
      <c r="B102" t="s">
        <v>103</v>
      </c>
      <c r="C102" t="s">
        <v>186</v>
      </c>
    </row>
    <row r="103" spans="1:3" x14ac:dyDescent="0.35">
      <c r="A103">
        <v>102</v>
      </c>
      <c r="B103" t="s">
        <v>104</v>
      </c>
      <c r="C103" t="s">
        <v>186</v>
      </c>
    </row>
    <row r="104" spans="1:3" x14ac:dyDescent="0.35">
      <c r="A104">
        <v>103</v>
      </c>
      <c r="B104" t="s">
        <v>105</v>
      </c>
      <c r="C104" t="s">
        <v>182</v>
      </c>
    </row>
    <row r="105" spans="1:3" x14ac:dyDescent="0.35">
      <c r="A105">
        <v>104</v>
      </c>
      <c r="B105" t="s">
        <v>106</v>
      </c>
      <c r="C105" t="s">
        <v>182</v>
      </c>
    </row>
    <row r="106" spans="1:3" x14ac:dyDescent="0.35">
      <c r="A106">
        <v>105</v>
      </c>
      <c r="B106" t="s">
        <v>107</v>
      </c>
      <c r="C106" t="s">
        <v>186</v>
      </c>
    </row>
    <row r="107" spans="1:3" x14ac:dyDescent="0.35">
      <c r="A107">
        <v>106</v>
      </c>
      <c r="B107" t="s">
        <v>108</v>
      </c>
      <c r="C107" t="s">
        <v>182</v>
      </c>
    </row>
    <row r="108" spans="1:3" x14ac:dyDescent="0.35">
      <c r="A108">
        <v>107</v>
      </c>
      <c r="B108" t="s">
        <v>109</v>
      </c>
      <c r="C108" t="s">
        <v>186</v>
      </c>
    </row>
    <row r="109" spans="1:3" x14ac:dyDescent="0.35">
      <c r="A109">
        <v>108</v>
      </c>
      <c r="B109" t="s">
        <v>110</v>
      </c>
      <c r="C109" t="s">
        <v>186</v>
      </c>
    </row>
    <row r="110" spans="1:3" x14ac:dyDescent="0.35">
      <c r="A110">
        <v>109</v>
      </c>
      <c r="B110" t="s">
        <v>111</v>
      </c>
      <c r="C110" t="s">
        <v>186</v>
      </c>
    </row>
    <row r="111" spans="1:3" x14ac:dyDescent="0.35">
      <c r="A111">
        <v>110</v>
      </c>
      <c r="B111" t="s">
        <v>112</v>
      </c>
      <c r="C111" t="s">
        <v>187</v>
      </c>
    </row>
    <row r="112" spans="1:3" x14ac:dyDescent="0.35">
      <c r="A112">
        <v>111</v>
      </c>
      <c r="B112" t="s">
        <v>113</v>
      </c>
      <c r="C112" t="s">
        <v>187</v>
      </c>
    </row>
    <row r="113" spans="1:3" x14ac:dyDescent="0.35">
      <c r="A113">
        <v>112</v>
      </c>
      <c r="B113" t="s">
        <v>114</v>
      </c>
      <c r="C113" t="s">
        <v>187</v>
      </c>
    </row>
    <row r="114" spans="1:3" x14ac:dyDescent="0.35">
      <c r="A114">
        <v>113</v>
      </c>
      <c r="B114" t="s">
        <v>115</v>
      </c>
      <c r="C114" t="s">
        <v>187</v>
      </c>
    </row>
    <row r="115" spans="1:3" x14ac:dyDescent="0.35">
      <c r="A115">
        <v>114</v>
      </c>
      <c r="B115" t="s">
        <v>116</v>
      </c>
      <c r="C115" t="s">
        <v>182</v>
      </c>
    </row>
    <row r="116" spans="1:3" x14ac:dyDescent="0.35">
      <c r="A116">
        <v>115</v>
      </c>
      <c r="B116" t="s">
        <v>117</v>
      </c>
      <c r="C116" t="s">
        <v>187</v>
      </c>
    </row>
    <row r="117" spans="1:3" x14ac:dyDescent="0.35">
      <c r="A117">
        <v>116</v>
      </c>
      <c r="B117" t="s">
        <v>118</v>
      </c>
      <c r="C117" t="s">
        <v>187</v>
      </c>
    </row>
    <row r="118" spans="1:3" x14ac:dyDescent="0.35">
      <c r="A118">
        <v>117</v>
      </c>
      <c r="B118" t="s">
        <v>119</v>
      </c>
      <c r="C118" t="s">
        <v>187</v>
      </c>
    </row>
    <row r="119" spans="1:3" x14ac:dyDescent="0.35">
      <c r="A119">
        <v>118</v>
      </c>
      <c r="B119" t="s">
        <v>120</v>
      </c>
      <c r="C119" t="s">
        <v>182</v>
      </c>
    </row>
    <row r="120" spans="1:3" x14ac:dyDescent="0.35">
      <c r="A120">
        <v>119</v>
      </c>
      <c r="B120" t="s">
        <v>121</v>
      </c>
      <c r="C120" t="s">
        <v>187</v>
      </c>
    </row>
    <row r="121" spans="1:3" x14ac:dyDescent="0.35">
      <c r="A121">
        <v>120</v>
      </c>
      <c r="B121" t="s">
        <v>122</v>
      </c>
      <c r="C121" t="s">
        <v>187</v>
      </c>
    </row>
    <row r="122" spans="1:3" x14ac:dyDescent="0.35">
      <c r="A122">
        <v>121</v>
      </c>
      <c r="B122" t="s">
        <v>123</v>
      </c>
      <c r="C122" t="s">
        <v>187</v>
      </c>
    </row>
    <row r="123" spans="1:3" x14ac:dyDescent="0.35">
      <c r="A123">
        <v>122</v>
      </c>
      <c r="B123" t="s">
        <v>124</v>
      </c>
      <c r="C123" t="s">
        <v>187</v>
      </c>
    </row>
    <row r="124" spans="1:3" x14ac:dyDescent="0.35">
      <c r="A124">
        <v>123</v>
      </c>
      <c r="B124" t="s">
        <v>125</v>
      </c>
      <c r="C124" t="s">
        <v>187</v>
      </c>
    </row>
    <row r="125" spans="1:3" x14ac:dyDescent="0.35">
      <c r="A125">
        <v>124</v>
      </c>
      <c r="B125" t="s">
        <v>126</v>
      </c>
      <c r="C125" t="s">
        <v>187</v>
      </c>
    </row>
    <row r="126" spans="1:3" x14ac:dyDescent="0.35">
      <c r="A126">
        <v>125</v>
      </c>
      <c r="B126" t="s">
        <v>127</v>
      </c>
      <c r="C126" t="s">
        <v>187</v>
      </c>
    </row>
    <row r="127" spans="1:3" x14ac:dyDescent="0.35">
      <c r="A127">
        <v>126</v>
      </c>
      <c r="B127" t="s">
        <v>128</v>
      </c>
      <c r="C127" t="s">
        <v>187</v>
      </c>
    </row>
    <row r="128" spans="1:3" x14ac:dyDescent="0.35">
      <c r="A128">
        <v>127</v>
      </c>
      <c r="B128" t="s">
        <v>129</v>
      </c>
      <c r="C128" t="s">
        <v>187</v>
      </c>
    </row>
    <row r="129" spans="1:3" x14ac:dyDescent="0.35">
      <c r="A129">
        <v>128</v>
      </c>
      <c r="B129" t="s">
        <v>130</v>
      </c>
      <c r="C129" t="s">
        <v>187</v>
      </c>
    </row>
    <row r="130" spans="1:3" x14ac:dyDescent="0.35">
      <c r="A130">
        <v>129</v>
      </c>
      <c r="B130" t="s">
        <v>131</v>
      </c>
      <c r="C130" t="s">
        <v>186</v>
      </c>
    </row>
    <row r="131" spans="1:3" x14ac:dyDescent="0.35">
      <c r="A131">
        <v>130</v>
      </c>
      <c r="B131" t="s">
        <v>132</v>
      </c>
      <c r="C131" t="s">
        <v>186</v>
      </c>
    </row>
    <row r="132" spans="1:3" x14ac:dyDescent="0.35">
      <c r="A132">
        <v>131</v>
      </c>
      <c r="B132" t="s">
        <v>133</v>
      </c>
      <c r="C132" t="s">
        <v>187</v>
      </c>
    </row>
    <row r="133" spans="1:3" x14ac:dyDescent="0.35">
      <c r="A133">
        <v>132</v>
      </c>
      <c r="B133" t="s">
        <v>134</v>
      </c>
      <c r="C133" t="s">
        <v>186</v>
      </c>
    </row>
    <row r="134" spans="1:3" x14ac:dyDescent="0.35">
      <c r="A134">
        <v>133</v>
      </c>
      <c r="B134" t="s">
        <v>135</v>
      </c>
      <c r="C134" t="s">
        <v>187</v>
      </c>
    </row>
    <row r="135" spans="1:3" x14ac:dyDescent="0.35">
      <c r="A135">
        <v>134</v>
      </c>
      <c r="B135" t="s">
        <v>136</v>
      </c>
      <c r="C135" t="s">
        <v>187</v>
      </c>
    </row>
    <row r="136" spans="1:3" x14ac:dyDescent="0.35">
      <c r="A136">
        <v>135</v>
      </c>
      <c r="B136" t="s">
        <v>137</v>
      </c>
      <c r="C136" t="s">
        <v>187</v>
      </c>
    </row>
    <row r="137" spans="1:3" x14ac:dyDescent="0.35">
      <c r="A137">
        <v>136</v>
      </c>
      <c r="B137" t="s">
        <v>138</v>
      </c>
      <c r="C137" t="s">
        <v>187</v>
      </c>
    </row>
    <row r="138" spans="1:3" x14ac:dyDescent="0.35">
      <c r="A138">
        <v>137</v>
      </c>
      <c r="B138" t="s">
        <v>139</v>
      </c>
      <c r="C138" t="s">
        <v>187</v>
      </c>
    </row>
    <row r="139" spans="1:3" x14ac:dyDescent="0.35">
      <c r="A139">
        <v>138</v>
      </c>
      <c r="B139" t="s">
        <v>140</v>
      </c>
      <c r="C139" t="s">
        <v>187</v>
      </c>
    </row>
    <row r="140" spans="1:3" x14ac:dyDescent="0.35">
      <c r="A140">
        <v>139</v>
      </c>
      <c r="B140" t="s">
        <v>141</v>
      </c>
      <c r="C140" t="s">
        <v>186</v>
      </c>
    </row>
    <row r="141" spans="1:3" x14ac:dyDescent="0.35">
      <c r="A141">
        <v>140</v>
      </c>
      <c r="B141" t="s">
        <v>142</v>
      </c>
      <c r="C141" t="s">
        <v>187</v>
      </c>
    </row>
    <row r="142" spans="1:3" x14ac:dyDescent="0.35">
      <c r="A142">
        <v>141</v>
      </c>
      <c r="B142" t="s">
        <v>143</v>
      </c>
      <c r="C142" t="s">
        <v>187</v>
      </c>
    </row>
    <row r="143" spans="1:3" x14ac:dyDescent="0.35">
      <c r="A143">
        <v>142</v>
      </c>
      <c r="B143" t="s">
        <v>144</v>
      </c>
      <c r="C143" t="s">
        <v>187</v>
      </c>
    </row>
    <row r="144" spans="1:3" x14ac:dyDescent="0.35">
      <c r="A144">
        <v>143</v>
      </c>
      <c r="B144" t="s">
        <v>145</v>
      </c>
      <c r="C144" t="s">
        <v>187</v>
      </c>
    </row>
    <row r="145" spans="1:3" x14ac:dyDescent="0.35">
      <c r="A145">
        <v>144</v>
      </c>
      <c r="B145" t="s">
        <v>146</v>
      </c>
      <c r="C145" t="s">
        <v>187</v>
      </c>
    </row>
    <row r="146" spans="1:3" x14ac:dyDescent="0.35">
      <c r="A146">
        <v>145</v>
      </c>
      <c r="B146" t="s">
        <v>147</v>
      </c>
      <c r="C146" t="s">
        <v>187</v>
      </c>
    </row>
    <row r="147" spans="1:3" x14ac:dyDescent="0.35">
      <c r="A147">
        <v>146</v>
      </c>
      <c r="B147" t="s">
        <v>148</v>
      </c>
      <c r="C147" t="s">
        <v>187</v>
      </c>
    </row>
    <row r="148" spans="1:3" x14ac:dyDescent="0.35">
      <c r="A148">
        <v>147</v>
      </c>
      <c r="B148" t="s">
        <v>149</v>
      </c>
      <c r="C148" t="s">
        <v>187</v>
      </c>
    </row>
    <row r="149" spans="1:3" x14ac:dyDescent="0.35">
      <c r="A149">
        <v>148</v>
      </c>
      <c r="B149" t="s">
        <v>150</v>
      </c>
      <c r="C149" t="s">
        <v>187</v>
      </c>
    </row>
    <row r="150" spans="1:3" x14ac:dyDescent="0.35">
      <c r="A150">
        <v>149</v>
      </c>
      <c r="B150" t="s">
        <v>151</v>
      </c>
      <c r="C150" t="s">
        <v>182</v>
      </c>
    </row>
    <row r="151" spans="1:3" x14ac:dyDescent="0.35">
      <c r="A151">
        <v>150</v>
      </c>
      <c r="B151" t="s">
        <v>152</v>
      </c>
      <c r="C151" t="s">
        <v>187</v>
      </c>
    </row>
    <row r="152" spans="1:3" x14ac:dyDescent="0.35">
      <c r="A152">
        <v>151</v>
      </c>
      <c r="B152" t="s">
        <v>153</v>
      </c>
      <c r="C152" t="s">
        <v>187</v>
      </c>
    </row>
    <row r="153" spans="1:3" x14ac:dyDescent="0.35">
      <c r="A153">
        <v>152</v>
      </c>
      <c r="B153" t="s">
        <v>154</v>
      </c>
      <c r="C153" t="s">
        <v>187</v>
      </c>
    </row>
    <row r="154" spans="1:3" x14ac:dyDescent="0.35">
      <c r="A154">
        <v>153</v>
      </c>
      <c r="B154" t="s">
        <v>155</v>
      </c>
      <c r="C154" t="s">
        <v>187</v>
      </c>
    </row>
    <row r="155" spans="1:3" x14ac:dyDescent="0.35">
      <c r="A155">
        <v>154</v>
      </c>
      <c r="B155" t="s">
        <v>156</v>
      </c>
      <c r="C155" t="s">
        <v>187</v>
      </c>
    </row>
    <row r="156" spans="1:3" x14ac:dyDescent="0.35">
      <c r="A156">
        <v>155</v>
      </c>
      <c r="B156" t="s">
        <v>157</v>
      </c>
      <c r="C156" t="s">
        <v>187</v>
      </c>
    </row>
    <row r="157" spans="1:3" x14ac:dyDescent="0.35">
      <c r="A157">
        <v>156</v>
      </c>
      <c r="B157" t="s">
        <v>158</v>
      </c>
      <c r="C157" t="s">
        <v>187</v>
      </c>
    </row>
    <row r="158" spans="1:3" x14ac:dyDescent="0.35">
      <c r="A158">
        <v>157</v>
      </c>
      <c r="B158" t="s">
        <v>159</v>
      </c>
      <c r="C158" t="s">
        <v>182</v>
      </c>
    </row>
    <row r="159" spans="1:3" x14ac:dyDescent="0.35">
      <c r="A159">
        <v>158</v>
      </c>
      <c r="B159" t="s">
        <v>160</v>
      </c>
      <c r="C159" t="s">
        <v>186</v>
      </c>
    </row>
    <row r="160" spans="1:3" x14ac:dyDescent="0.35">
      <c r="A160">
        <v>159</v>
      </c>
      <c r="B160" t="s">
        <v>161</v>
      </c>
      <c r="C160" t="s">
        <v>182</v>
      </c>
    </row>
    <row r="161" spans="1:3" x14ac:dyDescent="0.35">
      <c r="A161">
        <v>160</v>
      </c>
      <c r="B161" t="s">
        <v>162</v>
      </c>
      <c r="C161" t="s">
        <v>186</v>
      </c>
    </row>
    <row r="162" spans="1:3" x14ac:dyDescent="0.35">
      <c r="A162">
        <v>161</v>
      </c>
      <c r="B162" t="s">
        <v>163</v>
      </c>
      <c r="C162" t="s">
        <v>186</v>
      </c>
    </row>
    <row r="163" spans="1:3" x14ac:dyDescent="0.35">
      <c r="A163">
        <v>162</v>
      </c>
      <c r="B163" t="s">
        <v>164</v>
      </c>
      <c r="C163" t="s">
        <v>186</v>
      </c>
    </row>
    <row r="164" spans="1:3" x14ac:dyDescent="0.35">
      <c r="A164">
        <v>163</v>
      </c>
      <c r="B164" t="s">
        <v>165</v>
      </c>
      <c r="C164" t="s">
        <v>186</v>
      </c>
    </row>
    <row r="165" spans="1:3" x14ac:dyDescent="0.35">
      <c r="A165">
        <v>164</v>
      </c>
      <c r="B165" t="s">
        <v>166</v>
      </c>
      <c r="C165" t="s">
        <v>186</v>
      </c>
    </row>
    <row r="166" spans="1:3" x14ac:dyDescent="0.35">
      <c r="A166">
        <v>165</v>
      </c>
      <c r="B166" t="s">
        <v>167</v>
      </c>
      <c r="C166" t="s">
        <v>186</v>
      </c>
    </row>
    <row r="167" spans="1:3" x14ac:dyDescent="0.35">
      <c r="A167">
        <v>166</v>
      </c>
      <c r="B167" t="s">
        <v>168</v>
      </c>
      <c r="C167" t="s">
        <v>186</v>
      </c>
    </row>
    <row r="168" spans="1:3" x14ac:dyDescent="0.35">
      <c r="A168">
        <v>167</v>
      </c>
      <c r="B168" t="s">
        <v>169</v>
      </c>
      <c r="C168" t="s">
        <v>186</v>
      </c>
    </row>
    <row r="169" spans="1:3" x14ac:dyDescent="0.35">
      <c r="A169">
        <v>168</v>
      </c>
      <c r="B169" t="s">
        <v>170</v>
      </c>
      <c r="C169" t="s">
        <v>186</v>
      </c>
    </row>
    <row r="170" spans="1:3" x14ac:dyDescent="0.35">
      <c r="A170">
        <v>169</v>
      </c>
      <c r="B170" t="s">
        <v>171</v>
      </c>
      <c r="C170" t="s">
        <v>186</v>
      </c>
    </row>
    <row r="171" spans="1:3" x14ac:dyDescent="0.35">
      <c r="A171">
        <v>170</v>
      </c>
      <c r="B171" t="s">
        <v>172</v>
      </c>
      <c r="C171" t="s">
        <v>187</v>
      </c>
    </row>
    <row r="172" spans="1:3" x14ac:dyDescent="0.35">
      <c r="A172">
        <v>171</v>
      </c>
      <c r="B172" t="s">
        <v>173</v>
      </c>
      <c r="C172" t="s">
        <v>186</v>
      </c>
    </row>
    <row r="173" spans="1:3" x14ac:dyDescent="0.35">
      <c r="A173">
        <v>172</v>
      </c>
      <c r="B173" t="s">
        <v>174</v>
      </c>
      <c r="C173" t="s">
        <v>186</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938993-716F-4AA3-AD65-5278CA53A932}">
  <dimension ref="A1:B78"/>
  <sheetViews>
    <sheetView workbookViewId="0"/>
  </sheetViews>
  <sheetFormatPr defaultRowHeight="14.5" x14ac:dyDescent="0.35"/>
  <cols>
    <col min="1" max="1" width="7.7265625" bestFit="1" customWidth="1"/>
    <col min="2" max="2" width="6.81640625" bestFit="1" customWidth="1"/>
  </cols>
  <sheetData>
    <row r="1" spans="1:2" x14ac:dyDescent="0.35">
      <c r="A1" t="s">
        <v>176</v>
      </c>
      <c r="B1" t="s">
        <v>1</v>
      </c>
    </row>
    <row r="2" spans="1:2" x14ac:dyDescent="0.35">
      <c r="A2">
        <v>1</v>
      </c>
      <c r="B2">
        <v>1963</v>
      </c>
    </row>
    <row r="3" spans="1:2" x14ac:dyDescent="0.35">
      <c r="A3">
        <v>2</v>
      </c>
      <c r="B3">
        <v>1964</v>
      </c>
    </row>
    <row r="4" spans="1:2" x14ac:dyDescent="0.35">
      <c r="A4">
        <v>3</v>
      </c>
      <c r="B4">
        <v>1965</v>
      </c>
    </row>
    <row r="5" spans="1:2" x14ac:dyDescent="0.35">
      <c r="A5">
        <v>4</v>
      </c>
      <c r="B5">
        <v>1966</v>
      </c>
    </row>
    <row r="6" spans="1:2" x14ac:dyDescent="0.35">
      <c r="A6">
        <v>5</v>
      </c>
      <c r="B6">
        <v>1967</v>
      </c>
    </row>
    <row r="7" spans="1:2" x14ac:dyDescent="0.35">
      <c r="A7">
        <v>6</v>
      </c>
      <c r="B7">
        <v>1968</v>
      </c>
    </row>
    <row r="8" spans="1:2" x14ac:dyDescent="0.35">
      <c r="A8">
        <v>7</v>
      </c>
      <c r="B8">
        <v>1969</v>
      </c>
    </row>
    <row r="9" spans="1:2" x14ac:dyDescent="0.35">
      <c r="A9">
        <v>8</v>
      </c>
      <c r="B9">
        <v>1970</v>
      </c>
    </row>
    <row r="10" spans="1:2" x14ac:dyDescent="0.35">
      <c r="A10">
        <v>9</v>
      </c>
      <c r="B10">
        <v>1971</v>
      </c>
    </row>
    <row r="11" spans="1:2" x14ac:dyDescent="0.35">
      <c r="A11">
        <v>10</v>
      </c>
      <c r="B11">
        <v>1972</v>
      </c>
    </row>
    <row r="12" spans="1:2" x14ac:dyDescent="0.35">
      <c r="A12">
        <v>11</v>
      </c>
      <c r="B12">
        <v>1973</v>
      </c>
    </row>
    <row r="13" spans="1:2" x14ac:dyDescent="0.35">
      <c r="A13">
        <v>12</v>
      </c>
      <c r="B13">
        <v>1974</v>
      </c>
    </row>
    <row r="14" spans="1:2" x14ac:dyDescent="0.35">
      <c r="A14">
        <v>13</v>
      </c>
      <c r="B14">
        <v>1975</v>
      </c>
    </row>
    <row r="15" spans="1:2" x14ac:dyDescent="0.35">
      <c r="A15">
        <v>14</v>
      </c>
      <c r="B15">
        <v>1976</v>
      </c>
    </row>
    <row r="16" spans="1:2" x14ac:dyDescent="0.35">
      <c r="A16">
        <v>15</v>
      </c>
      <c r="B16">
        <v>1977</v>
      </c>
    </row>
    <row r="17" spans="1:2" x14ac:dyDescent="0.35">
      <c r="A17">
        <v>16</v>
      </c>
      <c r="B17">
        <v>1978</v>
      </c>
    </row>
    <row r="18" spans="1:2" x14ac:dyDescent="0.35">
      <c r="A18">
        <v>17</v>
      </c>
      <c r="B18">
        <v>1979</v>
      </c>
    </row>
    <row r="19" spans="1:2" x14ac:dyDescent="0.35">
      <c r="A19">
        <v>18</v>
      </c>
      <c r="B19">
        <v>1980</v>
      </c>
    </row>
    <row r="20" spans="1:2" x14ac:dyDescent="0.35">
      <c r="A20">
        <v>19</v>
      </c>
      <c r="B20">
        <v>1981</v>
      </c>
    </row>
    <row r="21" spans="1:2" x14ac:dyDescent="0.35">
      <c r="A21">
        <v>20</v>
      </c>
      <c r="B21">
        <v>1982</v>
      </c>
    </row>
    <row r="22" spans="1:2" x14ac:dyDescent="0.35">
      <c r="A22">
        <v>21</v>
      </c>
      <c r="B22">
        <v>1983</v>
      </c>
    </row>
    <row r="23" spans="1:2" x14ac:dyDescent="0.35">
      <c r="A23">
        <v>22</v>
      </c>
      <c r="B23">
        <v>1984</v>
      </c>
    </row>
    <row r="24" spans="1:2" x14ac:dyDescent="0.35">
      <c r="A24">
        <v>23</v>
      </c>
      <c r="B24">
        <v>1985</v>
      </c>
    </row>
    <row r="25" spans="1:2" x14ac:dyDescent="0.35">
      <c r="A25">
        <v>24</v>
      </c>
      <c r="B25">
        <v>1986</v>
      </c>
    </row>
    <row r="26" spans="1:2" x14ac:dyDescent="0.35">
      <c r="A26">
        <v>25</v>
      </c>
      <c r="B26">
        <v>1987</v>
      </c>
    </row>
    <row r="27" spans="1:2" x14ac:dyDescent="0.35">
      <c r="A27">
        <v>26</v>
      </c>
      <c r="B27">
        <v>1988</v>
      </c>
    </row>
    <row r="28" spans="1:2" x14ac:dyDescent="0.35">
      <c r="A28">
        <v>27</v>
      </c>
      <c r="B28">
        <v>1989</v>
      </c>
    </row>
    <row r="29" spans="1:2" x14ac:dyDescent="0.35">
      <c r="A29">
        <v>28</v>
      </c>
      <c r="B29">
        <v>1990</v>
      </c>
    </row>
    <row r="30" spans="1:2" x14ac:dyDescent="0.35">
      <c r="A30">
        <v>29</v>
      </c>
      <c r="B30">
        <v>1991</v>
      </c>
    </row>
    <row r="31" spans="1:2" x14ac:dyDescent="0.35">
      <c r="A31">
        <v>30</v>
      </c>
      <c r="B31">
        <v>1992</v>
      </c>
    </row>
    <row r="32" spans="1:2" x14ac:dyDescent="0.35">
      <c r="A32">
        <v>31</v>
      </c>
      <c r="B32">
        <v>1993</v>
      </c>
    </row>
    <row r="33" spans="1:2" x14ac:dyDescent="0.35">
      <c r="A33">
        <v>32</v>
      </c>
      <c r="B33">
        <v>1994</v>
      </c>
    </row>
    <row r="34" spans="1:2" x14ac:dyDescent="0.35">
      <c r="A34">
        <v>33</v>
      </c>
      <c r="B34">
        <v>1995</v>
      </c>
    </row>
    <row r="35" spans="1:2" x14ac:dyDescent="0.35">
      <c r="A35">
        <v>34</v>
      </c>
      <c r="B35">
        <v>1996</v>
      </c>
    </row>
    <row r="36" spans="1:2" x14ac:dyDescent="0.35">
      <c r="A36">
        <v>35</v>
      </c>
      <c r="B36">
        <v>1997</v>
      </c>
    </row>
    <row r="37" spans="1:2" x14ac:dyDescent="0.35">
      <c r="A37">
        <v>36</v>
      </c>
      <c r="B37">
        <v>1998</v>
      </c>
    </row>
    <row r="38" spans="1:2" x14ac:dyDescent="0.35">
      <c r="A38">
        <v>37</v>
      </c>
      <c r="B38">
        <v>1999</v>
      </c>
    </row>
    <row r="39" spans="1:2" x14ac:dyDescent="0.35">
      <c r="A39">
        <v>38</v>
      </c>
      <c r="B39">
        <v>2000</v>
      </c>
    </row>
    <row r="40" spans="1:2" x14ac:dyDescent="0.35">
      <c r="A40">
        <v>39</v>
      </c>
      <c r="B40">
        <v>2001</v>
      </c>
    </row>
    <row r="41" spans="1:2" x14ac:dyDescent="0.35">
      <c r="A41">
        <v>40</v>
      </c>
      <c r="B41">
        <v>2002</v>
      </c>
    </row>
    <row r="42" spans="1:2" x14ac:dyDescent="0.35">
      <c r="A42">
        <v>41</v>
      </c>
      <c r="B42">
        <v>2003</v>
      </c>
    </row>
    <row r="43" spans="1:2" x14ac:dyDescent="0.35">
      <c r="A43">
        <v>42</v>
      </c>
      <c r="B43">
        <v>2004</v>
      </c>
    </row>
    <row r="44" spans="1:2" x14ac:dyDescent="0.35">
      <c r="A44">
        <v>43</v>
      </c>
      <c r="B44">
        <v>2005</v>
      </c>
    </row>
    <row r="45" spans="1:2" x14ac:dyDescent="0.35">
      <c r="A45">
        <v>44</v>
      </c>
      <c r="B45">
        <v>2006</v>
      </c>
    </row>
    <row r="46" spans="1:2" x14ac:dyDescent="0.35">
      <c r="A46">
        <v>45</v>
      </c>
      <c r="B46">
        <v>2007</v>
      </c>
    </row>
    <row r="47" spans="1:2" x14ac:dyDescent="0.35">
      <c r="A47">
        <v>46</v>
      </c>
      <c r="B47">
        <v>2008</v>
      </c>
    </row>
    <row r="48" spans="1:2" x14ac:dyDescent="0.35">
      <c r="A48">
        <v>47</v>
      </c>
      <c r="B48">
        <v>2009</v>
      </c>
    </row>
    <row r="49" spans="1:2" x14ac:dyDescent="0.35">
      <c r="A49">
        <v>48</v>
      </c>
      <c r="B49">
        <v>2010</v>
      </c>
    </row>
    <row r="50" spans="1:2" x14ac:dyDescent="0.35">
      <c r="A50">
        <v>49</v>
      </c>
      <c r="B50">
        <v>2011</v>
      </c>
    </row>
    <row r="51" spans="1:2" x14ac:dyDescent="0.35">
      <c r="A51">
        <v>50</v>
      </c>
      <c r="B51">
        <v>2012</v>
      </c>
    </row>
    <row r="52" spans="1:2" x14ac:dyDescent="0.35">
      <c r="A52">
        <v>51</v>
      </c>
      <c r="B52">
        <v>2013</v>
      </c>
    </row>
    <row r="53" spans="1:2" x14ac:dyDescent="0.35">
      <c r="A53">
        <v>52</v>
      </c>
      <c r="B53">
        <v>2014</v>
      </c>
    </row>
    <row r="54" spans="1:2" x14ac:dyDescent="0.35">
      <c r="A54">
        <v>53</v>
      </c>
      <c r="B54">
        <v>2015</v>
      </c>
    </row>
    <row r="55" spans="1:2" x14ac:dyDescent="0.35">
      <c r="A55">
        <v>54</v>
      </c>
      <c r="B55">
        <v>2016</v>
      </c>
    </row>
    <row r="56" spans="1:2" x14ac:dyDescent="0.35">
      <c r="A56">
        <v>55</v>
      </c>
      <c r="B56">
        <v>2017</v>
      </c>
    </row>
    <row r="57" spans="1:2" x14ac:dyDescent="0.35">
      <c r="A57">
        <v>56</v>
      </c>
      <c r="B57">
        <v>2018</v>
      </c>
    </row>
    <row r="58" spans="1:2" x14ac:dyDescent="0.35">
      <c r="A58">
        <v>57</v>
      </c>
      <c r="B58">
        <v>2019</v>
      </c>
    </row>
    <row r="59" spans="1:2" x14ac:dyDescent="0.35">
      <c r="A59">
        <v>58</v>
      </c>
      <c r="B59">
        <v>2020</v>
      </c>
    </row>
    <row r="60" spans="1:2" x14ac:dyDescent="0.35">
      <c r="A60">
        <v>59</v>
      </c>
      <c r="B60">
        <v>2021</v>
      </c>
    </row>
    <row r="61" spans="1:2" x14ac:dyDescent="0.35">
      <c r="A61">
        <v>60</v>
      </c>
      <c r="B61">
        <v>2022</v>
      </c>
    </row>
    <row r="62" spans="1:2" x14ac:dyDescent="0.35">
      <c r="A62">
        <v>61</v>
      </c>
      <c r="B62">
        <v>2023</v>
      </c>
    </row>
    <row r="63" spans="1:2" x14ac:dyDescent="0.35">
      <c r="A63">
        <v>62</v>
      </c>
      <c r="B63">
        <v>2024</v>
      </c>
    </row>
    <row r="64" spans="1:2" x14ac:dyDescent="0.35">
      <c r="A64">
        <v>63</v>
      </c>
      <c r="B64">
        <v>2025</v>
      </c>
    </row>
    <row r="65" spans="1:2" x14ac:dyDescent="0.35">
      <c r="A65">
        <v>64</v>
      </c>
      <c r="B65">
        <v>1959</v>
      </c>
    </row>
    <row r="66" spans="1:2" x14ac:dyDescent="0.35">
      <c r="A66">
        <v>65</v>
      </c>
      <c r="B66">
        <v>1960</v>
      </c>
    </row>
    <row r="67" spans="1:2" x14ac:dyDescent="0.35">
      <c r="A67">
        <v>66</v>
      </c>
      <c r="B67">
        <v>1961</v>
      </c>
    </row>
    <row r="68" spans="1:2" x14ac:dyDescent="0.35">
      <c r="A68">
        <v>67</v>
      </c>
      <c r="B68">
        <v>1962</v>
      </c>
    </row>
    <row r="69" spans="1:2" x14ac:dyDescent="0.35">
      <c r="A69">
        <v>68</v>
      </c>
      <c r="B69">
        <v>1956</v>
      </c>
    </row>
    <row r="70" spans="1:2" x14ac:dyDescent="0.35">
      <c r="A70">
        <v>69</v>
      </c>
      <c r="B70">
        <v>1957</v>
      </c>
    </row>
    <row r="71" spans="1:2" x14ac:dyDescent="0.35">
      <c r="A71">
        <v>70</v>
      </c>
      <c r="B71">
        <v>1958</v>
      </c>
    </row>
    <row r="72" spans="1:2" x14ac:dyDescent="0.35">
      <c r="A72">
        <v>71</v>
      </c>
      <c r="B72">
        <v>1951</v>
      </c>
    </row>
    <row r="73" spans="1:2" x14ac:dyDescent="0.35">
      <c r="A73">
        <v>72</v>
      </c>
      <c r="B73">
        <v>1952</v>
      </c>
    </row>
    <row r="74" spans="1:2" x14ac:dyDescent="0.35">
      <c r="A74">
        <v>73</v>
      </c>
      <c r="B74">
        <v>1953</v>
      </c>
    </row>
    <row r="75" spans="1:2" x14ac:dyDescent="0.35">
      <c r="A75">
        <v>74</v>
      </c>
      <c r="B75">
        <v>1954</v>
      </c>
    </row>
    <row r="76" spans="1:2" x14ac:dyDescent="0.35">
      <c r="A76">
        <v>75</v>
      </c>
      <c r="B76">
        <v>1955</v>
      </c>
    </row>
    <row r="77" spans="1:2" x14ac:dyDescent="0.35">
      <c r="A77">
        <v>76</v>
      </c>
      <c r="B77">
        <v>1949</v>
      </c>
    </row>
    <row r="78" spans="1:2" x14ac:dyDescent="0.35">
      <c r="A78">
        <v>77</v>
      </c>
      <c r="B78">
        <v>1950</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D256F4-4784-4F9A-AF57-9E28B7F4E794}">
  <dimension ref="A1:C8762"/>
  <sheetViews>
    <sheetView workbookViewId="0">
      <selection activeCell="F15" sqref="F15"/>
    </sheetView>
  </sheetViews>
  <sheetFormatPr defaultRowHeight="14.5" x14ac:dyDescent="0.35"/>
  <cols>
    <col min="1" max="1" width="21.54296875" bestFit="1" customWidth="1"/>
    <col min="2" max="2" width="6.81640625" bestFit="1" customWidth="1"/>
    <col min="3" max="3" width="20.36328125" bestFit="1" customWidth="1"/>
  </cols>
  <sheetData>
    <row r="1" spans="1:3" x14ac:dyDescent="0.35">
      <c r="A1" t="s">
        <v>0</v>
      </c>
      <c r="B1" t="s">
        <v>1</v>
      </c>
      <c r="C1" t="s">
        <v>2</v>
      </c>
    </row>
    <row r="2" spans="1:3" x14ac:dyDescent="0.35">
      <c r="A2" t="s">
        <v>3</v>
      </c>
      <c r="B2">
        <v>1963</v>
      </c>
      <c r="C2">
        <v>66.436300146240882</v>
      </c>
    </row>
    <row r="3" spans="1:3" x14ac:dyDescent="0.35">
      <c r="A3" t="s">
        <v>3</v>
      </c>
      <c r="B3">
        <v>1964</v>
      </c>
      <c r="C3">
        <v>99.856999914929133</v>
      </c>
    </row>
    <row r="4" spans="1:3" x14ac:dyDescent="0.35">
      <c r="A4" t="s">
        <v>3</v>
      </c>
      <c r="B4">
        <v>1965</v>
      </c>
      <c r="C4">
        <v>105.52839139082775</v>
      </c>
    </row>
    <row r="5" spans="1:3" x14ac:dyDescent="0.35">
      <c r="A5" t="s">
        <v>3</v>
      </c>
      <c r="B5">
        <v>1966</v>
      </c>
      <c r="C5">
        <v>104.51564291298871</v>
      </c>
    </row>
    <row r="6" spans="1:3" x14ac:dyDescent="0.35">
      <c r="A6" t="s">
        <v>3</v>
      </c>
      <c r="B6">
        <v>1967</v>
      </c>
      <c r="C6">
        <v>99.249350828225715</v>
      </c>
    </row>
    <row r="7" spans="1:3" x14ac:dyDescent="0.35">
      <c r="A7" t="s">
        <v>3</v>
      </c>
      <c r="B7">
        <v>1968</v>
      </c>
      <c r="C7">
        <v>99.249350828225715</v>
      </c>
    </row>
    <row r="8" spans="1:3" x14ac:dyDescent="0.35">
      <c r="A8" t="s">
        <v>3</v>
      </c>
      <c r="B8">
        <v>1969</v>
      </c>
      <c r="C8">
        <v>99.249350828225715</v>
      </c>
    </row>
    <row r="9" spans="1:3" x14ac:dyDescent="0.35">
      <c r="A9" t="s">
        <v>3</v>
      </c>
      <c r="B9">
        <v>1970</v>
      </c>
      <c r="C9">
        <v>98.844251437090094</v>
      </c>
    </row>
    <row r="10" spans="1:3" x14ac:dyDescent="0.35">
      <c r="A10" t="s">
        <v>3</v>
      </c>
      <c r="B10">
        <v>1971</v>
      </c>
      <c r="C10">
        <v>99.946261073475782</v>
      </c>
    </row>
    <row r="11" spans="1:3" x14ac:dyDescent="0.35">
      <c r="A11" t="s">
        <v>3</v>
      </c>
      <c r="B11">
        <v>1972</v>
      </c>
      <c r="C11">
        <v>109.94284132833093</v>
      </c>
    </row>
    <row r="12" spans="1:3" x14ac:dyDescent="0.35">
      <c r="A12" t="s">
        <v>3</v>
      </c>
      <c r="B12">
        <v>1973</v>
      </c>
      <c r="C12">
        <v>136.75709779179812</v>
      </c>
    </row>
    <row r="13" spans="1:3" x14ac:dyDescent="0.35">
      <c r="A13" t="s">
        <v>3</v>
      </c>
      <c r="B13">
        <v>1974</v>
      </c>
      <c r="C13">
        <v>260.1686300304969</v>
      </c>
    </row>
    <row r="14" spans="1:3" x14ac:dyDescent="0.35">
      <c r="A14" t="s">
        <v>3</v>
      </c>
      <c r="B14">
        <v>1975</v>
      </c>
      <c r="C14">
        <v>332.25215918327041</v>
      </c>
    </row>
    <row r="15" spans="1:3" x14ac:dyDescent="0.35">
      <c r="A15" t="s">
        <v>3</v>
      </c>
      <c r="B15">
        <v>1976</v>
      </c>
      <c r="C15">
        <v>480.64037350317733</v>
      </c>
    </row>
    <row r="16" spans="1:3" x14ac:dyDescent="0.35">
      <c r="A16" t="s">
        <v>3</v>
      </c>
      <c r="B16">
        <v>1977</v>
      </c>
      <c r="C16">
        <v>471.66944795454771</v>
      </c>
    </row>
    <row r="17" spans="1:3" x14ac:dyDescent="0.35">
      <c r="A17" t="s">
        <v>3</v>
      </c>
      <c r="B17">
        <v>1978</v>
      </c>
      <c r="C17">
        <v>627.85244206863513</v>
      </c>
    </row>
    <row r="18" spans="1:3" x14ac:dyDescent="0.35">
      <c r="A18" t="s">
        <v>3</v>
      </c>
      <c r="B18">
        <v>1979</v>
      </c>
      <c r="C18">
        <v>711.68124735614174</v>
      </c>
    </row>
    <row r="19" spans="1:3" x14ac:dyDescent="0.35">
      <c r="A19" t="s">
        <v>3</v>
      </c>
      <c r="B19">
        <v>1980</v>
      </c>
      <c r="C19">
        <v>890.17446481387378</v>
      </c>
    </row>
    <row r="20" spans="1:3" x14ac:dyDescent="0.35">
      <c r="A20" t="s">
        <v>3</v>
      </c>
      <c r="B20">
        <v>1981</v>
      </c>
      <c r="C20">
        <v>806.56933460926223</v>
      </c>
    </row>
    <row r="21" spans="1:3" x14ac:dyDescent="0.35">
      <c r="A21" t="s">
        <v>3</v>
      </c>
      <c r="B21">
        <v>1982</v>
      </c>
      <c r="C21">
        <v>932.45270774946152</v>
      </c>
    </row>
    <row r="22" spans="1:3" x14ac:dyDescent="0.35">
      <c r="A22" t="s">
        <v>3</v>
      </c>
      <c r="B22">
        <v>1983</v>
      </c>
      <c r="C22">
        <v>952.43067156698964</v>
      </c>
    </row>
    <row r="23" spans="1:3" x14ac:dyDescent="0.35">
      <c r="A23" t="s">
        <v>3</v>
      </c>
      <c r="B23">
        <v>1984</v>
      </c>
      <c r="C23">
        <v>929.29082127154925</v>
      </c>
    </row>
    <row r="24" spans="1:3" x14ac:dyDescent="0.35">
      <c r="A24" t="s">
        <v>3</v>
      </c>
      <c r="B24">
        <v>1985</v>
      </c>
      <c r="C24">
        <v>953.2996539241816</v>
      </c>
    </row>
    <row r="25" spans="1:3" x14ac:dyDescent="0.35">
      <c r="A25" t="s">
        <v>3</v>
      </c>
      <c r="B25">
        <v>1986</v>
      </c>
      <c r="C25">
        <v>1127.1032171353716</v>
      </c>
    </row>
    <row r="26" spans="1:3" x14ac:dyDescent="0.35">
      <c r="A26" t="s">
        <v>3</v>
      </c>
      <c r="B26">
        <v>1987</v>
      </c>
      <c r="C26">
        <v>1196.9713840329584</v>
      </c>
    </row>
    <row r="27" spans="1:3" x14ac:dyDescent="0.35">
      <c r="A27" t="s">
        <v>3</v>
      </c>
      <c r="B27">
        <v>1988</v>
      </c>
      <c r="C27">
        <v>1028.6114252963346</v>
      </c>
    </row>
    <row r="28" spans="1:3" x14ac:dyDescent="0.35">
      <c r="A28" t="s">
        <v>3</v>
      </c>
      <c r="B28">
        <v>1989</v>
      </c>
      <c r="C28">
        <v>854.30094525113816</v>
      </c>
    </row>
    <row r="29" spans="1:3" x14ac:dyDescent="0.35">
      <c r="A29" t="s">
        <v>3</v>
      </c>
      <c r="B29">
        <v>1990</v>
      </c>
      <c r="C29">
        <v>904.2691551558413</v>
      </c>
    </row>
    <row r="30" spans="1:3" x14ac:dyDescent="0.35">
      <c r="A30" t="s">
        <v>3</v>
      </c>
      <c r="B30">
        <v>1991</v>
      </c>
      <c r="C30">
        <v>565.09806256732838</v>
      </c>
    </row>
    <row r="31" spans="1:3" x14ac:dyDescent="0.35">
      <c r="A31" t="s">
        <v>3</v>
      </c>
      <c r="B31">
        <v>1992</v>
      </c>
      <c r="C31">
        <v>1053.3016426926056</v>
      </c>
    </row>
    <row r="32" spans="1:3" x14ac:dyDescent="0.35">
      <c r="A32" t="s">
        <v>3</v>
      </c>
      <c r="B32">
        <v>1993</v>
      </c>
      <c r="C32">
        <v>1276.9110831255837</v>
      </c>
    </row>
    <row r="33" spans="1:3" x14ac:dyDescent="0.35">
      <c r="A33" t="s">
        <v>3</v>
      </c>
      <c r="B33">
        <v>1994</v>
      </c>
      <c r="C33">
        <v>1334.9116476746008</v>
      </c>
    </row>
    <row r="34" spans="1:3" x14ac:dyDescent="0.35">
      <c r="A34" t="s">
        <v>3</v>
      </c>
      <c r="B34">
        <v>1995</v>
      </c>
      <c r="C34">
        <v>1234.6551915858731</v>
      </c>
    </row>
    <row r="35" spans="1:3" x14ac:dyDescent="0.35">
      <c r="A35" t="s">
        <v>3</v>
      </c>
      <c r="B35">
        <v>1996</v>
      </c>
      <c r="C35">
        <v>1452.4310077462744</v>
      </c>
    </row>
    <row r="36" spans="1:3" x14ac:dyDescent="0.35">
      <c r="A36" t="s">
        <v>3</v>
      </c>
      <c r="B36">
        <v>1997</v>
      </c>
      <c r="C36">
        <v>1752.395277547208</v>
      </c>
    </row>
    <row r="37" spans="1:3" x14ac:dyDescent="0.35">
      <c r="A37" t="s">
        <v>3</v>
      </c>
      <c r="B37">
        <v>1998</v>
      </c>
      <c r="C37">
        <v>1910.9620524693985</v>
      </c>
    </row>
    <row r="38" spans="1:3" x14ac:dyDescent="0.35">
      <c r="A38" t="s">
        <v>3</v>
      </c>
      <c r="B38">
        <v>1999</v>
      </c>
      <c r="C38">
        <v>1826.4965699771233</v>
      </c>
    </row>
    <row r="39" spans="1:3" x14ac:dyDescent="0.35">
      <c r="A39" t="s">
        <v>3</v>
      </c>
      <c r="B39">
        <v>2000</v>
      </c>
      <c r="C39">
        <v>1881.1636491194504</v>
      </c>
    </row>
    <row r="40" spans="1:3" x14ac:dyDescent="0.35">
      <c r="A40" t="s">
        <v>3</v>
      </c>
      <c r="B40">
        <v>2001</v>
      </c>
      <c r="C40">
        <v>2091.6272744932976</v>
      </c>
    </row>
    <row r="41" spans="1:3" x14ac:dyDescent="0.35">
      <c r="A41" t="s">
        <v>3</v>
      </c>
      <c r="B41">
        <v>2002</v>
      </c>
      <c r="C41">
        <v>2100.6025207732246</v>
      </c>
    </row>
    <row r="42" spans="1:3" x14ac:dyDescent="0.35">
      <c r="A42" t="s">
        <v>3</v>
      </c>
      <c r="B42">
        <v>2003</v>
      </c>
      <c r="C42">
        <v>2206.3957620001293</v>
      </c>
    </row>
    <row r="43" spans="1:3" x14ac:dyDescent="0.35">
      <c r="A43" t="s">
        <v>3</v>
      </c>
      <c r="B43">
        <v>2004</v>
      </c>
      <c r="C43">
        <v>2802.2247941316059</v>
      </c>
    </row>
    <row r="44" spans="1:3" x14ac:dyDescent="0.35">
      <c r="A44" t="s">
        <v>3</v>
      </c>
      <c r="B44">
        <v>2005</v>
      </c>
      <c r="C44">
        <v>2924.8201669571195</v>
      </c>
    </row>
    <row r="45" spans="1:3" x14ac:dyDescent="0.35">
      <c r="A45" t="s">
        <v>3</v>
      </c>
      <c r="B45">
        <v>2006</v>
      </c>
      <c r="C45">
        <v>3093.9782453686748</v>
      </c>
    </row>
    <row r="46" spans="1:3" x14ac:dyDescent="0.35">
      <c r="A46" t="s">
        <v>3</v>
      </c>
      <c r="B46">
        <v>2007</v>
      </c>
      <c r="C46">
        <v>3945.8151254683057</v>
      </c>
    </row>
    <row r="47" spans="1:3" x14ac:dyDescent="0.35">
      <c r="A47" t="s">
        <v>3</v>
      </c>
      <c r="B47">
        <v>2008</v>
      </c>
      <c r="C47">
        <v>5172.3369070402641</v>
      </c>
    </row>
    <row r="48" spans="1:3" x14ac:dyDescent="0.35">
      <c r="A48" t="s">
        <v>3</v>
      </c>
      <c r="B48">
        <v>2009</v>
      </c>
      <c r="C48">
        <v>5280.5881559422633</v>
      </c>
    </row>
    <row r="49" spans="1:3" x14ac:dyDescent="0.35">
      <c r="A49" t="s">
        <v>3</v>
      </c>
      <c r="B49">
        <v>2010</v>
      </c>
      <c r="C49">
        <v>5671.3091173070197</v>
      </c>
    </row>
    <row r="50" spans="1:3" x14ac:dyDescent="0.35">
      <c r="A50" t="s">
        <v>3</v>
      </c>
      <c r="B50">
        <v>2011</v>
      </c>
      <c r="C50">
        <v>8652.2370400025229</v>
      </c>
    </row>
    <row r="51" spans="1:3" x14ac:dyDescent="0.35">
      <c r="A51" t="s">
        <v>3</v>
      </c>
      <c r="B51">
        <v>2012</v>
      </c>
      <c r="C51">
        <v>9326.2871440363178</v>
      </c>
    </row>
    <row r="52" spans="1:3" x14ac:dyDescent="0.35">
      <c r="A52" t="s">
        <v>3</v>
      </c>
      <c r="B52">
        <v>2013</v>
      </c>
      <c r="C52">
        <v>10161.588239148075</v>
      </c>
    </row>
    <row r="53" spans="1:3" x14ac:dyDescent="0.35">
      <c r="A53" t="s">
        <v>3</v>
      </c>
      <c r="B53">
        <v>2014</v>
      </c>
      <c r="C53">
        <v>11863.212527827234</v>
      </c>
    </row>
    <row r="54" spans="1:3" x14ac:dyDescent="0.35">
      <c r="A54" t="s">
        <v>3</v>
      </c>
      <c r="B54">
        <v>2015</v>
      </c>
      <c r="C54">
        <v>10407.345244361462</v>
      </c>
    </row>
    <row r="55" spans="1:3" x14ac:dyDescent="0.35">
      <c r="A55" t="s">
        <v>3</v>
      </c>
      <c r="B55">
        <v>2016</v>
      </c>
      <c r="C55">
        <v>10217.081699569308</v>
      </c>
    </row>
    <row r="56" spans="1:3" x14ac:dyDescent="0.35">
      <c r="A56" t="s">
        <v>3</v>
      </c>
      <c r="B56">
        <v>2017</v>
      </c>
      <c r="C56">
        <v>10073.364021301344</v>
      </c>
    </row>
    <row r="57" spans="1:3" x14ac:dyDescent="0.35">
      <c r="A57" t="s">
        <v>3</v>
      </c>
      <c r="B57">
        <v>2018</v>
      </c>
      <c r="C57">
        <v>9583.7242883703002</v>
      </c>
    </row>
    <row r="58" spans="1:3" x14ac:dyDescent="0.35">
      <c r="A58" t="s">
        <v>3</v>
      </c>
      <c r="B58">
        <v>2019</v>
      </c>
      <c r="C58">
        <v>10303.60057521065</v>
      </c>
    </row>
    <row r="59" spans="1:3" x14ac:dyDescent="0.35">
      <c r="A59" t="s">
        <v>3</v>
      </c>
      <c r="B59">
        <v>2020</v>
      </c>
      <c r="C59">
        <v>9708.2774402272553</v>
      </c>
    </row>
    <row r="60" spans="1:3" x14ac:dyDescent="0.35">
      <c r="A60" t="s">
        <v>3</v>
      </c>
      <c r="B60">
        <v>2021</v>
      </c>
      <c r="C60">
        <v>9112.4611053489425</v>
      </c>
    </row>
    <row r="61" spans="1:3" x14ac:dyDescent="0.35">
      <c r="A61" t="s">
        <v>3</v>
      </c>
      <c r="B61">
        <v>2022</v>
      </c>
      <c r="C61">
        <v>9145.8101742072813</v>
      </c>
    </row>
    <row r="62" spans="1:3" x14ac:dyDescent="0.35">
      <c r="A62" t="s">
        <v>3</v>
      </c>
      <c r="B62">
        <v>2023</v>
      </c>
      <c r="C62">
        <v>18263.967968262132</v>
      </c>
    </row>
    <row r="63" spans="1:3" x14ac:dyDescent="0.35">
      <c r="A63" t="s">
        <v>3</v>
      </c>
      <c r="B63">
        <v>2024</v>
      </c>
      <c r="C63">
        <v>21811.242555031269</v>
      </c>
    </row>
    <row r="64" spans="1:3" x14ac:dyDescent="0.35">
      <c r="A64" t="s">
        <v>3</v>
      </c>
      <c r="B64">
        <v>2025</v>
      </c>
      <c r="C64">
        <v>25438.789692334565</v>
      </c>
    </row>
    <row r="65" spans="1:3" x14ac:dyDescent="0.35">
      <c r="A65" t="s">
        <v>4</v>
      </c>
      <c r="B65">
        <v>1959</v>
      </c>
      <c r="C65">
        <v>5.5719977712008912</v>
      </c>
    </row>
    <row r="66" spans="1:3" x14ac:dyDescent="0.35">
      <c r="A66" t="s">
        <v>4</v>
      </c>
      <c r="B66">
        <v>1960</v>
      </c>
      <c r="C66">
        <v>5.5719977712008912</v>
      </c>
    </row>
    <row r="67" spans="1:3" x14ac:dyDescent="0.35">
      <c r="A67" t="s">
        <v>4</v>
      </c>
      <c r="B67">
        <v>1961</v>
      </c>
      <c r="C67">
        <v>7.1679971328011476</v>
      </c>
    </row>
    <row r="68" spans="1:3" x14ac:dyDescent="0.35">
      <c r="A68" t="s">
        <v>4</v>
      </c>
      <c r="B68">
        <v>1962</v>
      </c>
      <c r="C68">
        <v>16.687993324802672</v>
      </c>
    </row>
    <row r="69" spans="1:3" x14ac:dyDescent="0.35">
      <c r="A69" t="s">
        <v>4</v>
      </c>
      <c r="B69">
        <v>1963</v>
      </c>
      <c r="C69">
        <v>18.67599252960299</v>
      </c>
    </row>
    <row r="70" spans="1:3" x14ac:dyDescent="0.35">
      <c r="A70" t="s">
        <v>4</v>
      </c>
      <c r="B70">
        <v>1964</v>
      </c>
      <c r="C70">
        <v>21.475991409603434</v>
      </c>
    </row>
    <row r="71" spans="1:3" x14ac:dyDescent="0.35">
      <c r="A71" t="s">
        <v>4</v>
      </c>
      <c r="B71">
        <v>1965</v>
      </c>
      <c r="C71">
        <v>29.119988352004658</v>
      </c>
    </row>
    <row r="72" spans="1:3" x14ac:dyDescent="0.35">
      <c r="A72" t="s">
        <v>4</v>
      </c>
      <c r="B72">
        <v>1966</v>
      </c>
      <c r="C72">
        <v>58.519976592009364</v>
      </c>
    </row>
    <row r="73" spans="1:3" x14ac:dyDescent="0.35">
      <c r="A73" t="s">
        <v>4</v>
      </c>
      <c r="B73">
        <v>1967</v>
      </c>
      <c r="C73">
        <v>79.519968192012726</v>
      </c>
    </row>
    <row r="74" spans="1:3" x14ac:dyDescent="0.35">
      <c r="A74" t="s">
        <v>4</v>
      </c>
      <c r="B74">
        <v>1968</v>
      </c>
      <c r="C74">
        <v>95.47996180801529</v>
      </c>
    </row>
    <row r="75" spans="1:3" x14ac:dyDescent="0.35">
      <c r="A75" t="s">
        <v>4</v>
      </c>
      <c r="B75">
        <v>1969</v>
      </c>
      <c r="C75">
        <v>143.0799427680229</v>
      </c>
    </row>
    <row r="76" spans="1:3" x14ac:dyDescent="0.35">
      <c r="A76" t="s">
        <v>4</v>
      </c>
      <c r="B76">
        <v>1970</v>
      </c>
      <c r="C76">
        <v>242.47990300803883</v>
      </c>
    </row>
    <row r="77" spans="1:3" x14ac:dyDescent="0.35">
      <c r="A77" t="s">
        <v>4</v>
      </c>
      <c r="B77">
        <v>1971</v>
      </c>
      <c r="C77">
        <v>243.03587164562788</v>
      </c>
    </row>
    <row r="78" spans="1:3" x14ac:dyDescent="0.35">
      <c r="A78" t="s">
        <v>4</v>
      </c>
      <c r="B78">
        <v>1972</v>
      </c>
      <c r="C78">
        <v>202.76822710041438</v>
      </c>
    </row>
    <row r="79" spans="1:3" x14ac:dyDescent="0.35">
      <c r="A79" t="s">
        <v>4</v>
      </c>
      <c r="B79">
        <v>1973</v>
      </c>
      <c r="C79">
        <v>298.30748001839839</v>
      </c>
    </row>
    <row r="80" spans="1:3" x14ac:dyDescent="0.35">
      <c r="A80" t="s">
        <v>4</v>
      </c>
      <c r="B80">
        <v>1974</v>
      </c>
      <c r="C80">
        <v>431.68237904955566</v>
      </c>
    </row>
    <row r="81" spans="1:3" x14ac:dyDescent="0.35">
      <c r="A81" t="s">
        <v>4</v>
      </c>
      <c r="B81">
        <v>1975</v>
      </c>
      <c r="C81">
        <v>287.78825269970378</v>
      </c>
    </row>
    <row r="82" spans="1:3" x14ac:dyDescent="0.35">
      <c r="A82" t="s">
        <v>4</v>
      </c>
      <c r="B82">
        <v>1976</v>
      </c>
      <c r="C82">
        <v>326.2951315820585</v>
      </c>
    </row>
    <row r="83" spans="1:3" x14ac:dyDescent="0.35">
      <c r="A83" t="s">
        <v>4</v>
      </c>
      <c r="B83">
        <v>1977</v>
      </c>
      <c r="C83">
        <v>479.64708783283959</v>
      </c>
    </row>
    <row r="84" spans="1:3" x14ac:dyDescent="0.35">
      <c r="A84" t="s">
        <v>4</v>
      </c>
      <c r="B84">
        <v>1978</v>
      </c>
      <c r="C84">
        <v>729.94180056814525</v>
      </c>
    </row>
    <row r="85" spans="1:3" x14ac:dyDescent="0.35">
      <c r="A85" t="s">
        <v>4</v>
      </c>
      <c r="B85">
        <v>1979</v>
      </c>
      <c r="C85">
        <v>853.56914855886316</v>
      </c>
    </row>
    <row r="86" spans="1:3" x14ac:dyDescent="0.35">
      <c r="A86" t="s">
        <v>4</v>
      </c>
      <c r="B86">
        <v>1980</v>
      </c>
      <c r="C86">
        <v>1074.1392530341056</v>
      </c>
    </row>
    <row r="87" spans="1:3" x14ac:dyDescent="0.35">
      <c r="A87" t="s">
        <v>4</v>
      </c>
      <c r="B87">
        <v>1981</v>
      </c>
      <c r="C87">
        <v>557.33452231364765</v>
      </c>
    </row>
    <row r="88" spans="1:3" x14ac:dyDescent="0.35">
      <c r="A88" t="s">
        <v>4</v>
      </c>
      <c r="B88">
        <v>1982</v>
      </c>
      <c r="C88">
        <v>709.33245060850584</v>
      </c>
    </row>
    <row r="89" spans="1:3" x14ac:dyDescent="0.35">
      <c r="A89" t="s">
        <v>4</v>
      </c>
      <c r="B89">
        <v>1997</v>
      </c>
      <c r="C89">
        <v>1251.9908172874545</v>
      </c>
    </row>
    <row r="90" spans="1:3" x14ac:dyDescent="0.35">
      <c r="A90" t="s">
        <v>4</v>
      </c>
      <c r="B90">
        <v>1998</v>
      </c>
      <c r="C90">
        <v>1443.6217582671406</v>
      </c>
    </row>
    <row r="91" spans="1:3" x14ac:dyDescent="0.35">
      <c r="A91" t="s">
        <v>4</v>
      </c>
      <c r="B91">
        <v>1999</v>
      </c>
      <c r="C91">
        <v>1153.4870884907862</v>
      </c>
    </row>
    <row r="92" spans="1:3" x14ac:dyDescent="0.35">
      <c r="A92" t="s">
        <v>4</v>
      </c>
      <c r="B92">
        <v>2000</v>
      </c>
      <c r="C92">
        <v>1085.5346648704581</v>
      </c>
    </row>
    <row r="93" spans="1:3" x14ac:dyDescent="0.35">
      <c r="A93" t="s">
        <v>4</v>
      </c>
      <c r="B93">
        <v>2001</v>
      </c>
      <c r="C93">
        <v>819.74799360067686</v>
      </c>
    </row>
    <row r="94" spans="1:3" x14ac:dyDescent="0.35">
      <c r="A94" t="s">
        <v>4</v>
      </c>
      <c r="B94">
        <v>2002</v>
      </c>
      <c r="C94">
        <v>452.51361475745267</v>
      </c>
    </row>
    <row r="95" spans="1:3" x14ac:dyDescent="0.35">
      <c r="A95" t="s">
        <v>4</v>
      </c>
      <c r="B95">
        <v>2003</v>
      </c>
      <c r="C95">
        <v>541.40176651662102</v>
      </c>
    </row>
    <row r="96" spans="1:3" x14ac:dyDescent="0.35">
      <c r="A96" t="s">
        <v>4</v>
      </c>
      <c r="B96">
        <v>2004</v>
      </c>
      <c r="C96">
        <v>685.07322007402468</v>
      </c>
    </row>
    <row r="97" spans="1:3" x14ac:dyDescent="0.35">
      <c r="A97" t="s">
        <v>4</v>
      </c>
      <c r="B97">
        <v>2005</v>
      </c>
      <c r="C97">
        <v>690.93076934835449</v>
      </c>
    </row>
    <row r="98" spans="1:3" x14ac:dyDescent="0.35">
      <c r="A98" t="s">
        <v>4</v>
      </c>
      <c r="B98">
        <v>2006</v>
      </c>
      <c r="C98">
        <v>614.35629620043096</v>
      </c>
    </row>
    <row r="99" spans="1:3" x14ac:dyDescent="0.35">
      <c r="A99" t="s">
        <v>4</v>
      </c>
      <c r="B99">
        <v>2007</v>
      </c>
      <c r="C99">
        <v>639.13704618893746</v>
      </c>
    </row>
    <row r="100" spans="1:3" x14ac:dyDescent="0.35">
      <c r="A100" t="s">
        <v>4</v>
      </c>
      <c r="B100">
        <v>2008</v>
      </c>
      <c r="C100">
        <v>1100.0686521298505</v>
      </c>
    </row>
    <row r="101" spans="1:3" x14ac:dyDescent="0.35">
      <c r="A101" t="s">
        <v>4</v>
      </c>
      <c r="B101">
        <v>2012</v>
      </c>
      <c r="C101">
        <v>2987.4134077326698</v>
      </c>
    </row>
    <row r="102" spans="1:3" x14ac:dyDescent="0.35">
      <c r="A102" t="s">
        <v>4</v>
      </c>
      <c r="B102">
        <v>2013</v>
      </c>
      <c r="C102">
        <v>3964.690154136521</v>
      </c>
    </row>
    <row r="103" spans="1:3" x14ac:dyDescent="0.35">
      <c r="A103" t="s">
        <v>4</v>
      </c>
      <c r="B103">
        <v>2014</v>
      </c>
      <c r="C103">
        <v>3755.6524963509291</v>
      </c>
    </row>
    <row r="104" spans="1:3" x14ac:dyDescent="0.35">
      <c r="A104" t="s">
        <v>4</v>
      </c>
      <c r="B104">
        <v>2022</v>
      </c>
      <c r="C104">
        <v>1212.5260353093331</v>
      </c>
    </row>
    <row r="105" spans="1:3" x14ac:dyDescent="0.35">
      <c r="A105" t="s">
        <v>4</v>
      </c>
      <c r="B105">
        <v>2023</v>
      </c>
      <c r="C105">
        <v>1572.9656165915799</v>
      </c>
    </row>
    <row r="106" spans="1:3" x14ac:dyDescent="0.35">
      <c r="A106" t="s">
        <v>5</v>
      </c>
      <c r="B106">
        <v>1956</v>
      </c>
      <c r="C106">
        <v>23.714285714285712</v>
      </c>
    </row>
    <row r="107" spans="1:3" x14ac:dyDescent="0.35">
      <c r="A107" t="s">
        <v>5</v>
      </c>
      <c r="B107">
        <v>1957</v>
      </c>
      <c r="C107">
        <v>35.401979723307051</v>
      </c>
    </row>
    <row r="108" spans="1:3" x14ac:dyDescent="0.35">
      <c r="A108" t="s">
        <v>5</v>
      </c>
      <c r="B108">
        <v>1958</v>
      </c>
      <c r="C108">
        <v>41.692277637215241</v>
      </c>
    </row>
    <row r="109" spans="1:3" x14ac:dyDescent="0.35">
      <c r="A109" t="s">
        <v>5</v>
      </c>
      <c r="B109">
        <v>1959</v>
      </c>
      <c r="C109">
        <v>41.880517347567228</v>
      </c>
    </row>
    <row r="110" spans="1:3" x14ac:dyDescent="0.35">
      <c r="A110" t="s">
        <v>5</v>
      </c>
      <c r="B110">
        <v>1960</v>
      </c>
      <c r="C110">
        <v>41.596762368861519</v>
      </c>
    </row>
    <row r="111" spans="1:3" x14ac:dyDescent="0.35">
      <c r="A111" t="s">
        <v>5</v>
      </c>
      <c r="B111">
        <v>1961</v>
      </c>
      <c r="C111">
        <v>48.275957466569444</v>
      </c>
    </row>
    <row r="112" spans="1:3" x14ac:dyDescent="0.35">
      <c r="A112" t="s">
        <v>5</v>
      </c>
      <c r="B112">
        <v>1962</v>
      </c>
      <c r="C112">
        <v>53.848540358739967</v>
      </c>
    </row>
    <row r="113" spans="1:3" x14ac:dyDescent="0.35">
      <c r="A113" t="s">
        <v>5</v>
      </c>
      <c r="B113">
        <v>1963</v>
      </c>
      <c r="C113">
        <v>74.893933196192478</v>
      </c>
    </row>
    <row r="114" spans="1:3" x14ac:dyDescent="0.35">
      <c r="A114" t="s">
        <v>5</v>
      </c>
      <c r="B114">
        <v>1964</v>
      </c>
      <c r="C114">
        <v>69.99322200024109</v>
      </c>
    </row>
    <row r="115" spans="1:3" x14ac:dyDescent="0.35">
      <c r="A115" t="s">
        <v>5</v>
      </c>
      <c r="B115">
        <v>1965</v>
      </c>
      <c r="C115">
        <v>63.175700376840979</v>
      </c>
    </row>
    <row r="116" spans="1:3" x14ac:dyDescent="0.35">
      <c r="A116" t="s">
        <v>5</v>
      </c>
      <c r="B116">
        <v>1966</v>
      </c>
      <c r="C116">
        <v>67.938085047100188</v>
      </c>
    </row>
    <row r="117" spans="1:3" x14ac:dyDescent="0.35">
      <c r="A117" t="s">
        <v>5</v>
      </c>
      <c r="B117">
        <v>1967</v>
      </c>
      <c r="C117">
        <v>70.348918780592399</v>
      </c>
    </row>
    <row r="118" spans="1:3" x14ac:dyDescent="0.35">
      <c r="A118" t="s">
        <v>5</v>
      </c>
      <c r="B118">
        <v>1968</v>
      </c>
      <c r="C118">
        <v>90.900288312001408</v>
      </c>
    </row>
    <row r="119" spans="1:3" x14ac:dyDescent="0.35">
      <c r="A119" t="s">
        <v>5</v>
      </c>
      <c r="B119">
        <v>1969</v>
      </c>
      <c r="C119">
        <v>84.972008639479583</v>
      </c>
    </row>
    <row r="120" spans="1:3" x14ac:dyDescent="0.35">
      <c r="A120" t="s">
        <v>5</v>
      </c>
      <c r="B120">
        <v>1970</v>
      </c>
      <c r="C120">
        <v>88.924195087827471</v>
      </c>
    </row>
    <row r="121" spans="1:3" x14ac:dyDescent="0.35">
      <c r="A121" t="s">
        <v>5</v>
      </c>
      <c r="B121">
        <v>1971</v>
      </c>
      <c r="C121">
        <v>111.28801020206102</v>
      </c>
    </row>
    <row r="122" spans="1:3" x14ac:dyDescent="0.35">
      <c r="A122" t="s">
        <v>5</v>
      </c>
      <c r="B122">
        <v>1972</v>
      </c>
      <c r="C122">
        <v>140.44699160366511</v>
      </c>
    </row>
    <row r="123" spans="1:3" x14ac:dyDescent="0.35">
      <c r="A123" t="s">
        <v>5</v>
      </c>
      <c r="B123">
        <v>1973</v>
      </c>
      <c r="C123">
        <v>185.78399384453559</v>
      </c>
    </row>
    <row r="124" spans="1:3" x14ac:dyDescent="0.35">
      <c r="A124" t="s">
        <v>5</v>
      </c>
      <c r="B124">
        <v>1974</v>
      </c>
      <c r="C124">
        <v>241.88916121443464</v>
      </c>
    </row>
    <row r="125" spans="1:3" x14ac:dyDescent="0.35">
      <c r="A125" t="s">
        <v>5</v>
      </c>
      <c r="B125">
        <v>1975</v>
      </c>
      <c r="C125">
        <v>413.32612788680541</v>
      </c>
    </row>
    <row r="126" spans="1:3" x14ac:dyDescent="0.35">
      <c r="A126" t="s">
        <v>5</v>
      </c>
      <c r="B126">
        <v>1976</v>
      </c>
      <c r="C126">
        <v>577.2394333051991</v>
      </c>
    </row>
    <row r="127" spans="1:3" x14ac:dyDescent="0.35">
      <c r="A127" t="s">
        <v>5</v>
      </c>
      <c r="B127">
        <v>1977</v>
      </c>
      <c r="C127">
        <v>731.45547203748322</v>
      </c>
    </row>
    <row r="128" spans="1:3" x14ac:dyDescent="0.35">
      <c r="A128" t="s">
        <v>5</v>
      </c>
      <c r="B128">
        <v>1978</v>
      </c>
      <c r="C128">
        <v>772.5593819524945</v>
      </c>
    </row>
    <row r="129" spans="1:3" x14ac:dyDescent="0.35">
      <c r="A129" t="s">
        <v>5</v>
      </c>
      <c r="B129">
        <v>1979</v>
      </c>
      <c r="C129">
        <v>896.35380200198506</v>
      </c>
    </row>
    <row r="130" spans="1:3" x14ac:dyDescent="0.35">
      <c r="A130" t="s">
        <v>5</v>
      </c>
      <c r="B130">
        <v>1980</v>
      </c>
      <c r="C130">
        <v>1117.9556221660548</v>
      </c>
    </row>
    <row r="131" spans="1:3" x14ac:dyDescent="0.35">
      <c r="A131" t="s">
        <v>5</v>
      </c>
      <c r="B131">
        <v>1981</v>
      </c>
      <c r="C131">
        <v>975.58146279218147</v>
      </c>
    </row>
    <row r="132" spans="1:3" x14ac:dyDescent="0.35">
      <c r="A132" t="s">
        <v>5</v>
      </c>
      <c r="B132">
        <v>1982</v>
      </c>
      <c r="C132">
        <v>959.48544085857259</v>
      </c>
    </row>
    <row r="133" spans="1:3" x14ac:dyDescent="0.35">
      <c r="A133" t="s">
        <v>5</v>
      </c>
      <c r="B133">
        <v>1983</v>
      </c>
      <c r="C133">
        <v>628.15342299319957</v>
      </c>
    </row>
    <row r="134" spans="1:3" x14ac:dyDescent="0.35">
      <c r="A134" t="s">
        <v>5</v>
      </c>
      <c r="B134">
        <v>1984</v>
      </c>
      <c r="C134">
        <v>512.4544012058285</v>
      </c>
    </row>
    <row r="135" spans="1:3" x14ac:dyDescent="0.35">
      <c r="A135" t="s">
        <v>5</v>
      </c>
      <c r="B135">
        <v>1985</v>
      </c>
      <c r="C135">
        <v>692.47204968944095</v>
      </c>
    </row>
    <row r="136" spans="1:3" x14ac:dyDescent="0.35">
      <c r="A136" t="s">
        <v>5</v>
      </c>
      <c r="B136">
        <v>1986</v>
      </c>
      <c r="C136">
        <v>728.54563268031859</v>
      </c>
    </row>
    <row r="137" spans="1:3" x14ac:dyDescent="0.35">
      <c r="A137" t="s">
        <v>5</v>
      </c>
      <c r="B137">
        <v>1987</v>
      </c>
      <c r="C137">
        <v>815.38610613656999</v>
      </c>
    </row>
    <row r="138" spans="1:3" x14ac:dyDescent="0.35">
      <c r="A138" t="s">
        <v>5</v>
      </c>
      <c r="B138">
        <v>1988</v>
      </c>
      <c r="C138">
        <v>917.26914479574634</v>
      </c>
    </row>
    <row r="139" spans="1:3" x14ac:dyDescent="0.35">
      <c r="A139" t="s">
        <v>5</v>
      </c>
      <c r="B139">
        <v>1989</v>
      </c>
      <c r="C139">
        <v>990.55509020201055</v>
      </c>
    </row>
    <row r="140" spans="1:3" x14ac:dyDescent="0.35">
      <c r="A140" t="s">
        <v>5</v>
      </c>
      <c r="B140">
        <v>1990</v>
      </c>
      <c r="C140">
        <v>1069.7204919962048</v>
      </c>
    </row>
    <row r="141" spans="1:3" x14ac:dyDescent="0.35">
      <c r="A141" t="s">
        <v>5</v>
      </c>
      <c r="B141">
        <v>1991</v>
      </c>
      <c r="C141">
        <v>1148.4457104134244</v>
      </c>
    </row>
    <row r="142" spans="1:3" x14ac:dyDescent="0.35">
      <c r="A142" t="s">
        <v>5</v>
      </c>
      <c r="B142">
        <v>1992</v>
      </c>
      <c r="C142">
        <v>1228.5265528756001</v>
      </c>
    </row>
    <row r="143" spans="1:3" x14ac:dyDescent="0.35">
      <c r="A143" t="s">
        <v>5</v>
      </c>
      <c r="B143">
        <v>1993</v>
      </c>
      <c r="C143">
        <v>1251.7865381327088</v>
      </c>
    </row>
    <row r="144" spans="1:3" x14ac:dyDescent="0.35">
      <c r="A144" t="s">
        <v>5</v>
      </c>
      <c r="B144">
        <v>1994</v>
      </c>
      <c r="C144">
        <v>1365.2500187444784</v>
      </c>
    </row>
    <row r="145" spans="1:3" x14ac:dyDescent="0.35">
      <c r="A145" t="s">
        <v>5</v>
      </c>
      <c r="B145">
        <v>1995</v>
      </c>
      <c r="C145">
        <v>1437.8987007390892</v>
      </c>
    </row>
    <row r="146" spans="1:3" x14ac:dyDescent="0.35">
      <c r="A146" t="s">
        <v>5</v>
      </c>
      <c r="B146">
        <v>1996</v>
      </c>
      <c r="C146">
        <v>1447.1286892430828</v>
      </c>
    </row>
    <row r="147" spans="1:3" x14ac:dyDescent="0.35">
      <c r="A147" t="s">
        <v>5</v>
      </c>
      <c r="B147">
        <v>1997</v>
      </c>
      <c r="C147">
        <v>1400.9495009504456</v>
      </c>
    </row>
    <row r="148" spans="1:3" x14ac:dyDescent="0.35">
      <c r="A148" t="s">
        <v>5</v>
      </c>
      <c r="B148">
        <v>1998</v>
      </c>
      <c r="C148">
        <v>1444.9597164638781</v>
      </c>
    </row>
    <row r="149" spans="1:3" x14ac:dyDescent="0.35">
      <c r="A149" t="s">
        <v>5</v>
      </c>
      <c r="B149">
        <v>1999</v>
      </c>
      <c r="C149">
        <v>1207.5166098555549</v>
      </c>
    </row>
    <row r="150" spans="1:3" x14ac:dyDescent="0.35">
      <c r="A150" t="s">
        <v>5</v>
      </c>
      <c r="B150">
        <v>2000</v>
      </c>
      <c r="C150">
        <v>859.15148321035986</v>
      </c>
    </row>
    <row r="151" spans="1:3" x14ac:dyDescent="0.35">
      <c r="A151" t="s">
        <v>5</v>
      </c>
      <c r="B151">
        <v>2001</v>
      </c>
      <c r="C151">
        <v>1470.3176147925328</v>
      </c>
    </row>
    <row r="152" spans="1:3" x14ac:dyDescent="0.35">
      <c r="A152" t="s">
        <v>5</v>
      </c>
      <c r="B152">
        <v>2002</v>
      </c>
      <c r="C152">
        <v>1474.8743262617281</v>
      </c>
    </row>
    <row r="153" spans="1:3" x14ac:dyDescent="0.35">
      <c r="A153" t="s">
        <v>5</v>
      </c>
      <c r="B153">
        <v>2003</v>
      </c>
      <c r="C153">
        <v>1819.2300702499797</v>
      </c>
    </row>
    <row r="154" spans="1:3" x14ac:dyDescent="0.35">
      <c r="A154" t="s">
        <v>5</v>
      </c>
      <c r="B154">
        <v>2004</v>
      </c>
      <c r="C154">
        <v>1937.523821552049</v>
      </c>
    </row>
    <row r="155" spans="1:3" x14ac:dyDescent="0.35">
      <c r="A155" t="s">
        <v>5</v>
      </c>
      <c r="B155">
        <v>2005</v>
      </c>
      <c r="C155">
        <v>2031.1313805624586</v>
      </c>
    </row>
    <row r="156" spans="1:3" x14ac:dyDescent="0.35">
      <c r="A156" t="s">
        <v>5</v>
      </c>
      <c r="B156">
        <v>2006</v>
      </c>
      <c r="C156">
        <v>2134.5948760627498</v>
      </c>
    </row>
    <row r="157" spans="1:3" x14ac:dyDescent="0.35">
      <c r="A157" t="s">
        <v>5</v>
      </c>
      <c r="B157">
        <v>2007</v>
      </c>
      <c r="C157">
        <v>2408.3502495627008</v>
      </c>
    </row>
    <row r="158" spans="1:3" x14ac:dyDescent="0.35">
      <c r="A158" t="s">
        <v>5</v>
      </c>
      <c r="B158">
        <v>2008</v>
      </c>
      <c r="C158">
        <v>2944.9584727359997</v>
      </c>
    </row>
    <row r="159" spans="1:3" x14ac:dyDescent="0.35">
      <c r="A159" t="s">
        <v>5</v>
      </c>
      <c r="B159">
        <v>2009</v>
      </c>
      <c r="C159">
        <v>3055.0694418587332</v>
      </c>
    </row>
    <row r="160" spans="1:3" x14ac:dyDescent="0.35">
      <c r="A160" t="s">
        <v>5</v>
      </c>
      <c r="B160">
        <v>2010</v>
      </c>
      <c r="C160">
        <v>3160.804832033607</v>
      </c>
    </row>
    <row r="161" spans="1:3" x14ac:dyDescent="0.35">
      <c r="A161" t="s">
        <v>5</v>
      </c>
      <c r="B161">
        <v>2011</v>
      </c>
      <c r="C161">
        <v>3342.6989556074454</v>
      </c>
    </row>
    <row r="162" spans="1:3" x14ac:dyDescent="0.35">
      <c r="A162" t="s">
        <v>5</v>
      </c>
      <c r="B162">
        <v>2012</v>
      </c>
      <c r="C162">
        <v>3402.700835840546</v>
      </c>
    </row>
    <row r="163" spans="1:3" x14ac:dyDescent="0.35">
      <c r="A163" t="s">
        <v>5</v>
      </c>
      <c r="B163">
        <v>2013</v>
      </c>
      <c r="C163">
        <v>4065.5523169353401</v>
      </c>
    </row>
    <row r="164" spans="1:3" x14ac:dyDescent="0.35">
      <c r="A164" t="s">
        <v>5</v>
      </c>
      <c r="B164">
        <v>2014</v>
      </c>
      <c r="C164">
        <v>4048.6125243501792</v>
      </c>
    </row>
    <row r="165" spans="1:3" x14ac:dyDescent="0.35">
      <c r="A165" t="s">
        <v>5</v>
      </c>
      <c r="B165">
        <v>2015</v>
      </c>
      <c r="C165">
        <v>3268.3633756657109</v>
      </c>
    </row>
    <row r="166" spans="1:3" x14ac:dyDescent="0.35">
      <c r="A166" t="s">
        <v>5</v>
      </c>
      <c r="B166">
        <v>2016</v>
      </c>
      <c r="C166">
        <v>3327.2372927737683</v>
      </c>
    </row>
    <row r="167" spans="1:3" x14ac:dyDescent="0.35">
      <c r="A167" t="s">
        <v>5</v>
      </c>
      <c r="B167">
        <v>2017</v>
      </c>
      <c r="C167">
        <v>3492.0748423821183</v>
      </c>
    </row>
    <row r="168" spans="1:3" x14ac:dyDescent="0.35">
      <c r="A168" t="s">
        <v>5</v>
      </c>
      <c r="B168">
        <v>2018</v>
      </c>
      <c r="C168">
        <v>3696.5716379430037</v>
      </c>
    </row>
    <row r="169" spans="1:3" x14ac:dyDescent="0.35">
      <c r="A169" t="s">
        <v>5</v>
      </c>
      <c r="B169">
        <v>2019</v>
      </c>
      <c r="C169">
        <v>3694.5948677498604</v>
      </c>
    </row>
    <row r="170" spans="1:3" x14ac:dyDescent="0.35">
      <c r="A170" t="s">
        <v>5</v>
      </c>
      <c r="B170">
        <v>2020</v>
      </c>
      <c r="C170">
        <v>4829.5079876339469</v>
      </c>
    </row>
    <row r="171" spans="1:3" x14ac:dyDescent="0.35">
      <c r="A171" t="s">
        <v>5</v>
      </c>
      <c r="B171">
        <v>2021</v>
      </c>
      <c r="C171">
        <v>5325.480901054676</v>
      </c>
    </row>
    <row r="172" spans="1:3" x14ac:dyDescent="0.35">
      <c r="A172" t="s">
        <v>5</v>
      </c>
      <c r="B172">
        <v>2022</v>
      </c>
      <c r="C172">
        <v>4993.7374920863913</v>
      </c>
    </row>
    <row r="173" spans="1:3" x14ac:dyDescent="0.35">
      <c r="A173" t="s">
        <v>5</v>
      </c>
      <c r="B173">
        <v>2023</v>
      </c>
      <c r="C173">
        <v>5189.1115323934382</v>
      </c>
    </row>
    <row r="174" spans="1:3" x14ac:dyDescent="0.35">
      <c r="A174" t="s">
        <v>5</v>
      </c>
      <c r="B174">
        <v>2024</v>
      </c>
      <c r="C174">
        <v>5516.9702486065025</v>
      </c>
    </row>
    <row r="175" spans="1:3" x14ac:dyDescent="0.35">
      <c r="A175" t="s">
        <v>5</v>
      </c>
      <c r="B175">
        <v>2025</v>
      </c>
      <c r="C175">
        <v>6330.7272443283318</v>
      </c>
    </row>
    <row r="176" spans="1:3" x14ac:dyDescent="0.35">
      <c r="A176" t="s">
        <v>6</v>
      </c>
      <c r="B176">
        <v>1956</v>
      </c>
      <c r="C176">
        <v>3.7142857142857144</v>
      </c>
    </row>
    <row r="177" spans="1:3" x14ac:dyDescent="0.35">
      <c r="A177" t="s">
        <v>6</v>
      </c>
      <c r="B177">
        <v>1957</v>
      </c>
      <c r="C177">
        <v>6.4111498257839719</v>
      </c>
    </row>
    <row r="178" spans="1:3" x14ac:dyDescent="0.35">
      <c r="A178" t="s">
        <v>6</v>
      </c>
      <c r="B178">
        <v>1958</v>
      </c>
      <c r="C178">
        <v>9.5238095238095237</v>
      </c>
    </row>
    <row r="179" spans="1:3" x14ac:dyDescent="0.35">
      <c r="A179" t="s">
        <v>6</v>
      </c>
      <c r="B179">
        <v>1959</v>
      </c>
      <c r="C179">
        <v>14.285714285714285</v>
      </c>
    </row>
    <row r="180" spans="1:3" x14ac:dyDescent="0.35">
      <c r="A180" t="s">
        <v>6</v>
      </c>
      <c r="B180">
        <v>1960</v>
      </c>
      <c r="C180">
        <v>15.952380952380953</v>
      </c>
    </row>
    <row r="181" spans="1:3" x14ac:dyDescent="0.35">
      <c r="A181" t="s">
        <v>6</v>
      </c>
      <c r="B181">
        <v>1961</v>
      </c>
      <c r="C181">
        <v>18.571428571428569</v>
      </c>
    </row>
    <row r="182" spans="1:3" x14ac:dyDescent="0.35">
      <c r="A182" t="s">
        <v>6</v>
      </c>
      <c r="B182">
        <v>1962</v>
      </c>
      <c r="C182">
        <v>14.285714285714285</v>
      </c>
    </row>
    <row r="183" spans="1:3" x14ac:dyDescent="0.35">
      <c r="A183" t="s">
        <v>6</v>
      </c>
      <c r="B183">
        <v>1963</v>
      </c>
      <c r="C183">
        <v>15.238095238095239</v>
      </c>
    </row>
    <row r="184" spans="1:3" x14ac:dyDescent="0.35">
      <c r="A184" t="s">
        <v>6</v>
      </c>
      <c r="B184">
        <v>1964</v>
      </c>
      <c r="C184">
        <v>17.478991596638657</v>
      </c>
    </row>
    <row r="185" spans="1:3" x14ac:dyDescent="0.35">
      <c r="A185" t="s">
        <v>6</v>
      </c>
      <c r="B185">
        <v>1965</v>
      </c>
      <c r="C185">
        <v>12.761904761904761</v>
      </c>
    </row>
    <row r="186" spans="1:3" x14ac:dyDescent="0.35">
      <c r="A186" t="s">
        <v>6</v>
      </c>
      <c r="B186">
        <v>1966</v>
      </c>
      <c r="C186">
        <v>13.714285714285715</v>
      </c>
    </row>
    <row r="187" spans="1:3" x14ac:dyDescent="0.35">
      <c r="A187" t="s">
        <v>6</v>
      </c>
      <c r="B187">
        <v>1967</v>
      </c>
      <c r="C187">
        <v>15.428571428571427</v>
      </c>
    </row>
    <row r="188" spans="1:3" x14ac:dyDescent="0.35">
      <c r="A188" t="s">
        <v>6</v>
      </c>
      <c r="B188">
        <v>1968</v>
      </c>
      <c r="C188">
        <v>17.523809523809522</v>
      </c>
    </row>
    <row r="189" spans="1:3" x14ac:dyDescent="0.35">
      <c r="A189" t="s">
        <v>6</v>
      </c>
      <c r="B189">
        <v>1969</v>
      </c>
      <c r="C189">
        <v>16.952380952380953</v>
      </c>
    </row>
    <row r="190" spans="1:3" x14ac:dyDescent="0.35">
      <c r="A190" t="s">
        <v>6</v>
      </c>
      <c r="B190">
        <v>1970</v>
      </c>
      <c r="C190">
        <v>22.476190476190474</v>
      </c>
    </row>
    <row r="191" spans="1:3" x14ac:dyDescent="0.35">
      <c r="A191" t="s">
        <v>6</v>
      </c>
      <c r="B191">
        <v>1971</v>
      </c>
      <c r="C191">
        <v>24.860541921566902</v>
      </c>
    </row>
    <row r="192" spans="1:3" x14ac:dyDescent="0.35">
      <c r="A192" t="s">
        <v>6</v>
      </c>
      <c r="B192">
        <v>1972</v>
      </c>
      <c r="C192">
        <v>31.65067713584429</v>
      </c>
    </row>
    <row r="193" spans="1:3" x14ac:dyDescent="0.35">
      <c r="A193" t="s">
        <v>6</v>
      </c>
      <c r="B193">
        <v>1973</v>
      </c>
      <c r="C193">
        <v>38.188218104536098</v>
      </c>
    </row>
    <row r="194" spans="1:3" x14ac:dyDescent="0.35">
      <c r="A194" t="s">
        <v>6</v>
      </c>
      <c r="B194">
        <v>1974</v>
      </c>
      <c r="C194">
        <v>46.505447781025772</v>
      </c>
    </row>
    <row r="195" spans="1:3" x14ac:dyDescent="0.35">
      <c r="A195" t="s">
        <v>6</v>
      </c>
      <c r="B195">
        <v>1975</v>
      </c>
      <c r="C195">
        <v>75.323106295072677</v>
      </c>
    </row>
    <row r="196" spans="1:3" x14ac:dyDescent="0.35">
      <c r="A196" t="s">
        <v>6</v>
      </c>
      <c r="B196">
        <v>1976</v>
      </c>
      <c r="C196">
        <v>83.960118943501826</v>
      </c>
    </row>
    <row r="197" spans="1:3" x14ac:dyDescent="0.35">
      <c r="A197" t="s">
        <v>6</v>
      </c>
      <c r="B197">
        <v>1977</v>
      </c>
      <c r="C197">
        <v>121.69250495395734</v>
      </c>
    </row>
    <row r="198" spans="1:3" x14ac:dyDescent="0.35">
      <c r="A198" t="s">
        <v>6</v>
      </c>
      <c r="B198">
        <v>1978</v>
      </c>
      <c r="C198">
        <v>148.4966516167633</v>
      </c>
    </row>
    <row r="199" spans="1:3" x14ac:dyDescent="0.35">
      <c r="A199" t="s">
        <v>6</v>
      </c>
      <c r="B199">
        <v>1979</v>
      </c>
      <c r="C199">
        <v>160.90064999926196</v>
      </c>
    </row>
    <row r="200" spans="1:3" x14ac:dyDescent="0.35">
      <c r="A200" t="s">
        <v>6</v>
      </c>
      <c r="B200">
        <v>1980</v>
      </c>
      <c r="C200">
        <v>194.09611955925857</v>
      </c>
    </row>
    <row r="201" spans="1:3" x14ac:dyDescent="0.35">
      <c r="A201" t="s">
        <v>6</v>
      </c>
      <c r="B201">
        <v>1981</v>
      </c>
      <c r="C201">
        <v>228.83573239584933</v>
      </c>
    </row>
    <row r="202" spans="1:3" x14ac:dyDescent="0.35">
      <c r="A202" t="s">
        <v>6</v>
      </c>
      <c r="B202">
        <v>1982</v>
      </c>
      <c r="C202">
        <v>328.60042628329393</v>
      </c>
    </row>
    <row r="203" spans="1:3" x14ac:dyDescent="0.35">
      <c r="A203" t="s">
        <v>6</v>
      </c>
      <c r="B203">
        <v>1983</v>
      </c>
      <c r="C203">
        <v>383.48947429677634</v>
      </c>
    </row>
    <row r="204" spans="1:3" x14ac:dyDescent="0.35">
      <c r="A204" t="s">
        <v>6</v>
      </c>
      <c r="B204">
        <v>1984</v>
      </c>
      <c r="C204">
        <v>249.4744687725676</v>
      </c>
    </row>
    <row r="205" spans="1:3" x14ac:dyDescent="0.35">
      <c r="A205" t="s">
        <v>6</v>
      </c>
      <c r="B205">
        <v>1985</v>
      </c>
      <c r="C205">
        <v>215.9387222946545</v>
      </c>
    </row>
    <row r="206" spans="1:3" x14ac:dyDescent="0.35">
      <c r="A206" t="s">
        <v>6</v>
      </c>
      <c r="B206">
        <v>1986</v>
      </c>
      <c r="C206">
        <v>206.79345464712247</v>
      </c>
    </row>
    <row r="207" spans="1:3" x14ac:dyDescent="0.35">
      <c r="A207" t="s">
        <v>6</v>
      </c>
      <c r="B207">
        <v>1987</v>
      </c>
      <c r="C207">
        <v>194.4097834822883</v>
      </c>
    </row>
    <row r="208" spans="1:3" x14ac:dyDescent="0.35">
      <c r="A208" t="s">
        <v>6</v>
      </c>
      <c r="B208">
        <v>1988</v>
      </c>
      <c r="C208">
        <v>232.92034077714723</v>
      </c>
    </row>
    <row r="209" spans="1:3" x14ac:dyDescent="0.35">
      <c r="A209" t="s">
        <v>6</v>
      </c>
      <c r="B209">
        <v>1989</v>
      </c>
      <c r="C209">
        <v>234.06202959799688</v>
      </c>
    </row>
    <row r="210" spans="1:3" x14ac:dyDescent="0.35">
      <c r="A210" t="s">
        <v>6</v>
      </c>
      <c r="B210">
        <v>1990</v>
      </c>
      <c r="C210">
        <v>247.85588153923399</v>
      </c>
    </row>
    <row r="211" spans="1:3" x14ac:dyDescent="0.35">
      <c r="A211" t="s">
        <v>6</v>
      </c>
      <c r="B211">
        <v>1991</v>
      </c>
      <c r="C211">
        <v>260.43103066012992</v>
      </c>
    </row>
    <row r="212" spans="1:3" x14ac:dyDescent="0.35">
      <c r="A212" t="s">
        <v>6</v>
      </c>
      <c r="B212">
        <v>1992</v>
      </c>
      <c r="C212">
        <v>289.67711516870128</v>
      </c>
    </row>
    <row r="213" spans="1:3" x14ac:dyDescent="0.35">
      <c r="A213" t="s">
        <v>6</v>
      </c>
      <c r="B213">
        <v>1993</v>
      </c>
      <c r="C213">
        <v>276.16713491541628</v>
      </c>
    </row>
    <row r="214" spans="1:3" x14ac:dyDescent="0.35">
      <c r="A214" t="s">
        <v>6</v>
      </c>
      <c r="B214">
        <v>1994</v>
      </c>
      <c r="C214">
        <v>297.06885472789287</v>
      </c>
    </row>
    <row r="215" spans="1:3" x14ac:dyDescent="0.35">
      <c r="A215" t="s">
        <v>6</v>
      </c>
      <c r="B215">
        <v>1995</v>
      </c>
      <c r="C215">
        <v>342.90245836637592</v>
      </c>
    </row>
    <row r="216" spans="1:3" x14ac:dyDescent="0.35">
      <c r="A216" t="s">
        <v>6</v>
      </c>
      <c r="B216">
        <v>1996</v>
      </c>
      <c r="C216">
        <v>397.46950918833619</v>
      </c>
    </row>
    <row r="217" spans="1:3" x14ac:dyDescent="0.35">
      <c r="A217" t="s">
        <v>6</v>
      </c>
      <c r="B217">
        <v>1997</v>
      </c>
      <c r="C217">
        <v>358.1665777504499</v>
      </c>
    </row>
    <row r="218" spans="1:3" x14ac:dyDescent="0.35">
      <c r="A218" t="s">
        <v>6</v>
      </c>
      <c r="B218">
        <v>1998</v>
      </c>
      <c r="C218">
        <v>365.84937473654634</v>
      </c>
    </row>
    <row r="219" spans="1:3" x14ac:dyDescent="0.35">
      <c r="A219" t="s">
        <v>6</v>
      </c>
      <c r="B219">
        <v>1999</v>
      </c>
      <c r="C219">
        <v>357.01339537863652</v>
      </c>
    </row>
    <row r="220" spans="1:3" x14ac:dyDescent="0.35">
      <c r="A220" t="s">
        <v>6</v>
      </c>
      <c r="B220">
        <v>2000</v>
      </c>
      <c r="C220">
        <v>332.38976274549862</v>
      </c>
    </row>
    <row r="221" spans="1:3" x14ac:dyDescent="0.35">
      <c r="A221" t="s">
        <v>6</v>
      </c>
      <c r="B221">
        <v>2001</v>
      </c>
      <c r="C221">
        <v>335.6479068054021</v>
      </c>
    </row>
    <row r="222" spans="1:3" x14ac:dyDescent="0.35">
      <c r="A222" t="s">
        <v>6</v>
      </c>
      <c r="B222">
        <v>2002</v>
      </c>
      <c r="C222">
        <v>345.42423666940982</v>
      </c>
    </row>
    <row r="223" spans="1:3" x14ac:dyDescent="0.35">
      <c r="A223" t="s">
        <v>6</v>
      </c>
      <c r="B223">
        <v>2003</v>
      </c>
      <c r="C223">
        <v>407.38556105738633</v>
      </c>
    </row>
    <row r="224" spans="1:3" x14ac:dyDescent="0.35">
      <c r="A224" t="s">
        <v>6</v>
      </c>
      <c r="B224">
        <v>2004</v>
      </c>
      <c r="C224">
        <v>444.65141673424489</v>
      </c>
    </row>
    <row r="225" spans="1:3" x14ac:dyDescent="0.35">
      <c r="A225" t="s">
        <v>6</v>
      </c>
      <c r="B225">
        <v>2005</v>
      </c>
      <c r="C225">
        <v>468.46457997733978</v>
      </c>
    </row>
    <row r="226" spans="1:3" x14ac:dyDescent="0.35">
      <c r="A226" t="s">
        <v>6</v>
      </c>
      <c r="B226">
        <v>2006</v>
      </c>
      <c r="C226">
        <v>497.21266397199133</v>
      </c>
    </row>
    <row r="227" spans="1:3" x14ac:dyDescent="0.35">
      <c r="A227" t="s">
        <v>6</v>
      </c>
      <c r="B227">
        <v>2007</v>
      </c>
      <c r="C227">
        <v>490.65055878129488</v>
      </c>
    </row>
    <row r="228" spans="1:3" x14ac:dyDescent="0.35">
      <c r="A228" t="s">
        <v>6</v>
      </c>
      <c r="B228">
        <v>2008</v>
      </c>
      <c r="C228">
        <v>578.9114873309851</v>
      </c>
    </row>
    <row r="229" spans="1:3" x14ac:dyDescent="0.35">
      <c r="A229" t="s">
        <v>6</v>
      </c>
      <c r="B229">
        <v>2009</v>
      </c>
      <c r="C229">
        <v>564.77593370214845</v>
      </c>
    </row>
    <row r="230" spans="1:3" x14ac:dyDescent="0.35">
      <c r="A230" t="s">
        <v>6</v>
      </c>
      <c r="B230">
        <v>2010</v>
      </c>
      <c r="C230">
        <v>571.18904568953462</v>
      </c>
    </row>
    <row r="231" spans="1:3" x14ac:dyDescent="0.35">
      <c r="A231" t="s">
        <v>6</v>
      </c>
      <c r="B231">
        <v>2011</v>
      </c>
      <c r="C231">
        <v>715.23959709613712</v>
      </c>
    </row>
    <row r="232" spans="1:3" x14ac:dyDescent="0.35">
      <c r="A232" t="s">
        <v>6</v>
      </c>
      <c r="B232">
        <v>2012</v>
      </c>
      <c r="C232">
        <v>681.22595061111861</v>
      </c>
    </row>
    <row r="233" spans="1:3" x14ac:dyDescent="0.35">
      <c r="A233" t="s">
        <v>6</v>
      </c>
      <c r="B233">
        <v>2013</v>
      </c>
      <c r="C233">
        <v>759.35888124284475</v>
      </c>
    </row>
    <row r="234" spans="1:3" x14ac:dyDescent="0.35">
      <c r="A234" t="s">
        <v>6</v>
      </c>
      <c r="B234">
        <v>2014</v>
      </c>
      <c r="C234">
        <v>908.35996289042362</v>
      </c>
    </row>
    <row r="235" spans="1:3" x14ac:dyDescent="0.35">
      <c r="A235" t="s">
        <v>6</v>
      </c>
      <c r="B235">
        <v>2015</v>
      </c>
      <c r="C235">
        <v>979.30682976554533</v>
      </c>
    </row>
    <row r="236" spans="1:3" x14ac:dyDescent="0.35">
      <c r="A236" t="s">
        <v>6</v>
      </c>
      <c r="B236">
        <v>2016</v>
      </c>
      <c r="C236">
        <v>987.00516751757573</v>
      </c>
    </row>
    <row r="237" spans="1:3" x14ac:dyDescent="0.35">
      <c r="A237" t="s">
        <v>6</v>
      </c>
      <c r="B237">
        <v>2017</v>
      </c>
      <c r="C237">
        <v>856.69115595647713</v>
      </c>
    </row>
    <row r="238" spans="1:3" x14ac:dyDescent="0.35">
      <c r="A238" t="s">
        <v>6</v>
      </c>
      <c r="B238">
        <v>2018</v>
      </c>
      <c r="C238">
        <v>843.67680024179754</v>
      </c>
    </row>
    <row r="239" spans="1:3" x14ac:dyDescent="0.35">
      <c r="A239" t="s">
        <v>6</v>
      </c>
      <c r="B239">
        <v>2019</v>
      </c>
      <c r="C239">
        <v>998.72774982109092</v>
      </c>
    </row>
    <row r="240" spans="1:3" x14ac:dyDescent="0.35">
      <c r="A240" t="s">
        <v>6</v>
      </c>
      <c r="B240">
        <v>2020</v>
      </c>
      <c r="C240">
        <v>1152.698061828301</v>
      </c>
    </row>
    <row r="241" spans="1:3" x14ac:dyDescent="0.35">
      <c r="A241" t="s">
        <v>6</v>
      </c>
      <c r="B241">
        <v>2021</v>
      </c>
      <c r="C241">
        <v>1231.0041272037627</v>
      </c>
    </row>
    <row r="242" spans="1:3" x14ac:dyDescent="0.35">
      <c r="A242" t="s">
        <v>6</v>
      </c>
      <c r="B242">
        <v>2022</v>
      </c>
      <c r="C242">
        <v>1146.732826395154</v>
      </c>
    </row>
    <row r="243" spans="1:3" x14ac:dyDescent="0.35">
      <c r="A243" t="s">
        <v>6</v>
      </c>
      <c r="B243">
        <v>2023</v>
      </c>
      <c r="C243">
        <v>1207.2758491173499</v>
      </c>
    </row>
    <row r="244" spans="1:3" x14ac:dyDescent="0.35">
      <c r="A244" t="s">
        <v>6</v>
      </c>
      <c r="B244">
        <v>2024</v>
      </c>
      <c r="C244">
        <v>1315.2263109623648</v>
      </c>
    </row>
    <row r="245" spans="1:3" x14ac:dyDescent="0.35">
      <c r="A245" t="s">
        <v>6</v>
      </c>
      <c r="B245">
        <v>2025</v>
      </c>
      <c r="C245">
        <v>1484.8591137612534</v>
      </c>
    </row>
    <row r="246" spans="1:3" x14ac:dyDescent="0.35">
      <c r="A246" t="s">
        <v>7</v>
      </c>
      <c r="B246">
        <v>1978</v>
      </c>
      <c r="C246">
        <v>343.27160906477707</v>
      </c>
    </row>
    <row r="247" spans="1:3" x14ac:dyDescent="0.35">
      <c r="A247" t="s">
        <v>7</v>
      </c>
      <c r="B247">
        <v>1979</v>
      </c>
      <c r="C247">
        <v>504.71288187713094</v>
      </c>
    </row>
    <row r="248" spans="1:3" x14ac:dyDescent="0.35">
      <c r="A248" t="s">
        <v>7</v>
      </c>
      <c r="B248">
        <v>1980</v>
      </c>
      <c r="C248">
        <v>497.35944916104023</v>
      </c>
    </row>
    <row r="249" spans="1:3" x14ac:dyDescent="0.35">
      <c r="A249" t="s">
        <v>7</v>
      </c>
      <c r="B249">
        <v>1981</v>
      </c>
      <c r="C249">
        <v>618.89163714152028</v>
      </c>
    </row>
    <row r="250" spans="1:3" x14ac:dyDescent="0.35">
      <c r="A250" t="s">
        <v>7</v>
      </c>
      <c r="B250">
        <v>1982</v>
      </c>
      <c r="C250">
        <v>668.49388328096802</v>
      </c>
    </row>
    <row r="251" spans="1:3" x14ac:dyDescent="0.35">
      <c r="A251" t="s">
        <v>7</v>
      </c>
      <c r="B251">
        <v>1983</v>
      </c>
      <c r="C251">
        <v>778.62825055150745</v>
      </c>
    </row>
    <row r="252" spans="1:3" x14ac:dyDescent="0.35">
      <c r="A252" t="s">
        <v>7</v>
      </c>
      <c r="B252">
        <v>1984</v>
      </c>
      <c r="C252">
        <v>1066.2477438331439</v>
      </c>
    </row>
    <row r="253" spans="1:3" x14ac:dyDescent="0.35">
      <c r="A253" t="s">
        <v>7</v>
      </c>
      <c r="B253">
        <v>1985</v>
      </c>
      <c r="C253">
        <v>1146.4670098268602</v>
      </c>
    </row>
    <row r="254" spans="1:3" x14ac:dyDescent="0.35">
      <c r="A254" t="s">
        <v>7</v>
      </c>
      <c r="B254">
        <v>1986</v>
      </c>
      <c r="C254">
        <v>1156.4944180760749</v>
      </c>
    </row>
    <row r="255" spans="1:3" x14ac:dyDescent="0.35">
      <c r="A255" t="s">
        <v>7</v>
      </c>
      <c r="B255">
        <v>1987</v>
      </c>
      <c r="C255">
        <v>1487.3988903001539</v>
      </c>
    </row>
    <row r="256" spans="1:3" x14ac:dyDescent="0.35">
      <c r="A256" t="s">
        <v>7</v>
      </c>
      <c r="B256">
        <v>1988</v>
      </c>
      <c r="C256">
        <v>1469.3829801457314</v>
      </c>
    </row>
    <row r="257" spans="1:3" x14ac:dyDescent="0.35">
      <c r="A257" t="s">
        <v>7</v>
      </c>
      <c r="B257">
        <v>1989</v>
      </c>
      <c r="C257">
        <v>1948.5593956815298</v>
      </c>
    </row>
    <row r="258" spans="1:3" x14ac:dyDescent="0.35">
      <c r="A258" t="s">
        <v>7</v>
      </c>
      <c r="B258">
        <v>1990</v>
      </c>
      <c r="C258">
        <v>1751.1531519486598</v>
      </c>
    </row>
    <row r="259" spans="1:3" x14ac:dyDescent="0.35">
      <c r="A259" t="s">
        <v>7</v>
      </c>
      <c r="B259">
        <v>1991</v>
      </c>
      <c r="C259">
        <v>1031.2477880442773</v>
      </c>
    </row>
    <row r="260" spans="1:3" x14ac:dyDescent="0.35">
      <c r="A260" t="s">
        <v>7</v>
      </c>
      <c r="B260">
        <v>1992</v>
      </c>
      <c r="C260">
        <v>794.13882116165576</v>
      </c>
    </row>
    <row r="261" spans="1:3" x14ac:dyDescent="0.35">
      <c r="A261" t="s">
        <v>7</v>
      </c>
      <c r="B261">
        <v>1993</v>
      </c>
      <c r="C261">
        <v>1774.3978768274208</v>
      </c>
    </row>
    <row r="262" spans="1:3" x14ac:dyDescent="0.35">
      <c r="A262" t="s">
        <v>7</v>
      </c>
      <c r="B262">
        <v>1994</v>
      </c>
      <c r="C262">
        <v>594.99117869444683</v>
      </c>
    </row>
    <row r="263" spans="1:3" x14ac:dyDescent="0.35">
      <c r="A263" t="s">
        <v>7</v>
      </c>
      <c r="B263">
        <v>1995</v>
      </c>
      <c r="C263">
        <v>233.84371488930014</v>
      </c>
    </row>
    <row r="264" spans="1:3" x14ac:dyDescent="0.35">
      <c r="A264" t="s">
        <v>7</v>
      </c>
      <c r="B264">
        <v>1996</v>
      </c>
      <c r="C264">
        <v>159.7419334681986</v>
      </c>
    </row>
    <row r="265" spans="1:3" x14ac:dyDescent="0.35">
      <c r="A265" t="s">
        <v>7</v>
      </c>
      <c r="B265">
        <v>1997</v>
      </c>
      <c r="C265">
        <v>456.78047502619631</v>
      </c>
    </row>
    <row r="266" spans="1:3" x14ac:dyDescent="0.35">
      <c r="A266" t="s">
        <v>7</v>
      </c>
      <c r="B266">
        <v>1998</v>
      </c>
      <c r="C266">
        <v>170.27829256868213</v>
      </c>
    </row>
    <row r="267" spans="1:3" x14ac:dyDescent="0.35">
      <c r="A267" t="s">
        <v>7</v>
      </c>
      <c r="B267">
        <v>1999</v>
      </c>
      <c r="C267">
        <v>1066.5887892328476</v>
      </c>
    </row>
    <row r="268" spans="1:3" x14ac:dyDescent="0.35">
      <c r="A268" t="s">
        <v>7</v>
      </c>
      <c r="B268">
        <v>2000</v>
      </c>
      <c r="C268">
        <v>583.62133359892437</v>
      </c>
    </row>
    <row r="269" spans="1:3" x14ac:dyDescent="0.35">
      <c r="A269" t="s">
        <v>7</v>
      </c>
      <c r="B269">
        <v>2001</v>
      </c>
      <c r="C269">
        <v>404.29913999066099</v>
      </c>
    </row>
    <row r="270" spans="1:3" x14ac:dyDescent="0.35">
      <c r="A270" t="s">
        <v>7</v>
      </c>
      <c r="B270">
        <v>2002</v>
      </c>
      <c r="C270">
        <v>438.68624541123177</v>
      </c>
    </row>
    <row r="271" spans="1:3" x14ac:dyDescent="0.35">
      <c r="A271" t="s">
        <v>7</v>
      </c>
      <c r="B271">
        <v>2003</v>
      </c>
      <c r="C271">
        <v>670.02116443249429</v>
      </c>
    </row>
    <row r="272" spans="1:3" x14ac:dyDescent="0.35">
      <c r="A272" t="s">
        <v>7</v>
      </c>
      <c r="B272">
        <v>2004</v>
      </c>
      <c r="C272">
        <v>817.53358215208266</v>
      </c>
    </row>
    <row r="273" spans="1:3" x14ac:dyDescent="0.35">
      <c r="A273" t="s">
        <v>7</v>
      </c>
      <c r="B273">
        <v>2005</v>
      </c>
      <c r="C273">
        <v>1365.0553986904408</v>
      </c>
    </row>
    <row r="274" spans="1:3" x14ac:dyDescent="0.35">
      <c r="A274" t="s">
        <v>7</v>
      </c>
      <c r="B274">
        <v>2006</v>
      </c>
      <c r="C274">
        <v>1970.3091151837609</v>
      </c>
    </row>
    <row r="275" spans="1:3" x14ac:dyDescent="0.35">
      <c r="A275" t="s">
        <v>7</v>
      </c>
      <c r="B275">
        <v>2007</v>
      </c>
      <c r="C275">
        <v>2032.432883434303</v>
      </c>
    </row>
    <row r="276" spans="1:3" x14ac:dyDescent="0.35">
      <c r="A276" t="s">
        <v>7</v>
      </c>
      <c r="B276">
        <v>2008</v>
      </c>
      <c r="C276">
        <v>3163.5911474090203</v>
      </c>
    </row>
    <row r="277" spans="1:3" x14ac:dyDescent="0.35">
      <c r="A277" t="s">
        <v>7</v>
      </c>
      <c r="B277">
        <v>2009</v>
      </c>
      <c r="C277">
        <v>3311.1932452772153</v>
      </c>
    </row>
    <row r="278" spans="1:3" x14ac:dyDescent="0.35">
      <c r="A278" t="s">
        <v>7</v>
      </c>
      <c r="B278">
        <v>2010</v>
      </c>
      <c r="C278">
        <v>3500.7948364464883</v>
      </c>
    </row>
    <row r="279" spans="1:3" x14ac:dyDescent="0.35">
      <c r="A279" t="s">
        <v>7</v>
      </c>
      <c r="B279">
        <v>2011</v>
      </c>
      <c r="C279">
        <v>3639.4963735446004</v>
      </c>
    </row>
    <row r="280" spans="1:3" x14ac:dyDescent="0.35">
      <c r="A280" t="s">
        <v>7</v>
      </c>
      <c r="B280">
        <v>2012</v>
      </c>
      <c r="C280">
        <v>4144.6348514685551</v>
      </c>
    </row>
    <row r="281" spans="1:3" x14ac:dyDescent="0.35">
      <c r="A281" t="s">
        <v>7</v>
      </c>
      <c r="B281">
        <v>2013</v>
      </c>
      <c r="C281">
        <v>6090.7517020088426</v>
      </c>
    </row>
    <row r="282" spans="1:3" x14ac:dyDescent="0.35">
      <c r="A282" t="s">
        <v>7</v>
      </c>
      <c r="B282">
        <v>2014</v>
      </c>
      <c r="C282">
        <v>6846.2493133405214</v>
      </c>
    </row>
    <row r="283" spans="1:3" x14ac:dyDescent="0.35">
      <c r="A283" t="s">
        <v>7</v>
      </c>
      <c r="B283">
        <v>2015</v>
      </c>
      <c r="C283">
        <v>3608.2991146167365</v>
      </c>
    </row>
    <row r="284" spans="1:3" x14ac:dyDescent="0.35">
      <c r="A284" t="s">
        <v>7</v>
      </c>
      <c r="B284">
        <v>2016</v>
      </c>
      <c r="C284">
        <v>2764.054937159764</v>
      </c>
    </row>
    <row r="285" spans="1:3" x14ac:dyDescent="0.35">
      <c r="A285" t="s">
        <v>7</v>
      </c>
      <c r="B285">
        <v>2017</v>
      </c>
      <c r="C285">
        <v>3062.8729139838001</v>
      </c>
    </row>
    <row r="286" spans="1:3" x14ac:dyDescent="0.35">
      <c r="A286" t="s">
        <v>7</v>
      </c>
      <c r="B286">
        <v>2018</v>
      </c>
      <c r="C286">
        <v>1982.2527448837639</v>
      </c>
    </row>
    <row r="287" spans="1:3" x14ac:dyDescent="0.35">
      <c r="A287" t="s">
        <v>7</v>
      </c>
      <c r="B287">
        <v>2019</v>
      </c>
      <c r="C287">
        <v>1469.7863821011606</v>
      </c>
    </row>
    <row r="288" spans="1:3" x14ac:dyDescent="0.35">
      <c r="A288" t="s">
        <v>7</v>
      </c>
      <c r="B288">
        <v>2020</v>
      </c>
      <c r="C288">
        <v>992.49681902277678</v>
      </c>
    </row>
    <row r="289" spans="1:3" x14ac:dyDescent="0.35">
      <c r="A289" t="s">
        <v>7</v>
      </c>
      <c r="B289">
        <v>2021</v>
      </c>
      <c r="C289">
        <v>973.94225175689689</v>
      </c>
    </row>
    <row r="290" spans="1:3" x14ac:dyDescent="0.35">
      <c r="A290" t="s">
        <v>7</v>
      </c>
      <c r="B290">
        <v>2022</v>
      </c>
      <c r="C290">
        <v>1623.3407288142903</v>
      </c>
    </row>
    <row r="291" spans="1:3" x14ac:dyDescent="0.35">
      <c r="A291" t="s">
        <v>7</v>
      </c>
      <c r="B291">
        <v>2023</v>
      </c>
      <c r="C291">
        <v>1247.8463450851743</v>
      </c>
    </row>
    <row r="292" spans="1:3" x14ac:dyDescent="0.35">
      <c r="A292" t="s">
        <v>7</v>
      </c>
      <c r="B292">
        <v>2024</v>
      </c>
      <c r="C292">
        <v>924.2565060599261</v>
      </c>
    </row>
    <row r="293" spans="1:3" x14ac:dyDescent="0.35">
      <c r="A293" t="s">
        <v>7</v>
      </c>
      <c r="B293">
        <v>2025</v>
      </c>
      <c r="C293">
        <v>1459.1504463033291</v>
      </c>
    </row>
    <row r="294" spans="1:3" x14ac:dyDescent="0.35">
      <c r="A294" t="s">
        <v>8</v>
      </c>
      <c r="B294">
        <v>1960</v>
      </c>
      <c r="C294">
        <v>1.3010053222945004</v>
      </c>
    </row>
    <row r="295" spans="1:3" x14ac:dyDescent="0.35">
      <c r="A295" t="s">
        <v>8</v>
      </c>
      <c r="B295">
        <v>1961</v>
      </c>
      <c r="C295">
        <v>2.1732039468319337</v>
      </c>
    </row>
    <row r="296" spans="1:3" x14ac:dyDescent="0.35">
      <c r="A296" t="s">
        <v>8</v>
      </c>
      <c r="B296">
        <v>1962</v>
      </c>
      <c r="C296">
        <v>2.7345376182585484</v>
      </c>
    </row>
    <row r="297" spans="1:3" x14ac:dyDescent="0.35">
      <c r="A297" t="s">
        <v>8</v>
      </c>
      <c r="B297">
        <v>1963</v>
      </c>
      <c r="C297">
        <v>2.9630717993926927</v>
      </c>
    </row>
    <row r="298" spans="1:3" x14ac:dyDescent="0.35">
      <c r="A298" t="s">
        <v>8</v>
      </c>
      <c r="B298">
        <v>1964</v>
      </c>
      <c r="C298">
        <v>3.8036624535255301</v>
      </c>
    </row>
    <row r="299" spans="1:3" x14ac:dyDescent="0.35">
      <c r="A299" t="s">
        <v>8</v>
      </c>
      <c r="B299">
        <v>1965</v>
      </c>
      <c r="C299">
        <v>3.994923712871489</v>
      </c>
    </row>
    <row r="300" spans="1:3" x14ac:dyDescent="0.35">
      <c r="A300" t="s">
        <v>8</v>
      </c>
      <c r="B300">
        <v>1966</v>
      </c>
      <c r="C300">
        <v>3.7243872060176328</v>
      </c>
    </row>
    <row r="301" spans="1:3" x14ac:dyDescent="0.35">
      <c r="A301" t="s">
        <v>8</v>
      </c>
      <c r="B301">
        <v>1967</v>
      </c>
      <c r="C301">
        <v>3.9105532091332962</v>
      </c>
    </row>
    <row r="302" spans="1:3" x14ac:dyDescent="0.35">
      <c r="A302" t="s">
        <v>8</v>
      </c>
      <c r="B302">
        <v>1968</v>
      </c>
      <c r="C302">
        <v>4.2938218245713244</v>
      </c>
    </row>
    <row r="303" spans="1:3" x14ac:dyDescent="0.35">
      <c r="A303" t="s">
        <v>8</v>
      </c>
      <c r="B303">
        <v>1969</v>
      </c>
      <c r="C303">
        <v>4.0159870134366304</v>
      </c>
    </row>
    <row r="304" spans="1:3" x14ac:dyDescent="0.35">
      <c r="A304" t="s">
        <v>8</v>
      </c>
      <c r="B304">
        <v>1970</v>
      </c>
      <c r="C304">
        <v>4.0990872023820293</v>
      </c>
    </row>
    <row r="305" spans="1:3" x14ac:dyDescent="0.35">
      <c r="A305" t="s">
        <v>8</v>
      </c>
      <c r="B305">
        <v>1971</v>
      </c>
      <c r="C305">
        <v>4.2853614956637953</v>
      </c>
    </row>
    <row r="306" spans="1:3" x14ac:dyDescent="0.35">
      <c r="A306" t="s">
        <v>8</v>
      </c>
      <c r="B306">
        <v>1972</v>
      </c>
      <c r="C306">
        <v>4.9042169917628202</v>
      </c>
    </row>
    <row r="307" spans="1:3" x14ac:dyDescent="0.35">
      <c r="A307" t="s">
        <v>8</v>
      </c>
      <c r="B307">
        <v>1973</v>
      </c>
      <c r="C307">
        <v>6.6984014464598971</v>
      </c>
    </row>
    <row r="308" spans="1:3" x14ac:dyDescent="0.35">
      <c r="A308" t="s">
        <v>8</v>
      </c>
      <c r="B308">
        <v>1974</v>
      </c>
      <c r="C308">
        <v>6.4477264701605703</v>
      </c>
    </row>
    <row r="309" spans="1:3" x14ac:dyDescent="0.35">
      <c r="A309" t="s">
        <v>8</v>
      </c>
      <c r="B309">
        <v>1975</v>
      </c>
      <c r="C309">
        <v>7.8576661238468972</v>
      </c>
    </row>
    <row r="310" spans="1:3" x14ac:dyDescent="0.35">
      <c r="A310" t="s">
        <v>8</v>
      </c>
      <c r="B310">
        <v>1976</v>
      </c>
      <c r="C310">
        <v>7.1604938271604945</v>
      </c>
    </row>
    <row r="311" spans="1:3" x14ac:dyDescent="0.35">
      <c r="A311" t="s">
        <v>8</v>
      </c>
      <c r="B311">
        <v>1977</v>
      </c>
      <c r="C311">
        <v>10.147346141322044</v>
      </c>
    </row>
    <row r="312" spans="1:3" x14ac:dyDescent="0.35">
      <c r="A312" t="s">
        <v>8</v>
      </c>
      <c r="B312">
        <v>1978</v>
      </c>
      <c r="C312">
        <v>8.5528414932463583</v>
      </c>
    </row>
    <row r="313" spans="1:3" x14ac:dyDescent="0.35">
      <c r="A313" t="s">
        <v>8</v>
      </c>
      <c r="B313">
        <v>1979</v>
      </c>
      <c r="C313">
        <v>17.562828480364043</v>
      </c>
    </row>
    <row r="314" spans="1:3" x14ac:dyDescent="0.35">
      <c r="A314" t="s">
        <v>8</v>
      </c>
      <c r="B314">
        <v>1980</v>
      </c>
      <c r="C314">
        <v>23.617947747065507</v>
      </c>
    </row>
    <row r="315" spans="1:3" x14ac:dyDescent="0.35">
      <c r="A315" t="s">
        <v>8</v>
      </c>
      <c r="B315">
        <v>1981</v>
      </c>
      <c r="C315">
        <v>17.18611420853712</v>
      </c>
    </row>
    <row r="316" spans="1:3" x14ac:dyDescent="0.35">
      <c r="A316" t="s">
        <v>8</v>
      </c>
      <c r="B316">
        <v>1982</v>
      </c>
      <c r="C316">
        <v>16.554779888376963</v>
      </c>
    </row>
    <row r="317" spans="1:3" x14ac:dyDescent="0.35">
      <c r="A317" t="s">
        <v>8</v>
      </c>
      <c r="B317">
        <v>1983</v>
      </c>
      <c r="C317">
        <v>17.765951305023279</v>
      </c>
    </row>
    <row r="318" spans="1:3" x14ac:dyDescent="0.35">
      <c r="A318" t="s">
        <v>8</v>
      </c>
      <c r="B318">
        <v>1984</v>
      </c>
      <c r="C318">
        <v>21.237787699933861</v>
      </c>
    </row>
    <row r="319" spans="1:3" x14ac:dyDescent="0.35">
      <c r="A319" t="s">
        <v>8</v>
      </c>
      <c r="B319">
        <v>1985</v>
      </c>
      <c r="C319">
        <v>19.810222519993857</v>
      </c>
    </row>
    <row r="320" spans="1:3" x14ac:dyDescent="0.35">
      <c r="A320" t="s">
        <v>8</v>
      </c>
      <c r="B320">
        <v>1986</v>
      </c>
      <c r="C320">
        <v>26.277338538748968</v>
      </c>
    </row>
    <row r="321" spans="1:3" x14ac:dyDescent="0.35">
      <c r="A321" t="s">
        <v>8</v>
      </c>
      <c r="B321">
        <v>1987</v>
      </c>
      <c r="C321">
        <v>35.602937408705088</v>
      </c>
    </row>
    <row r="322" spans="1:3" x14ac:dyDescent="0.35">
      <c r="A322" t="s">
        <v>8</v>
      </c>
      <c r="B322">
        <v>1988</v>
      </c>
      <c r="C322">
        <v>36.931702929215675</v>
      </c>
    </row>
    <row r="323" spans="1:3" x14ac:dyDescent="0.35">
      <c r="A323" t="s">
        <v>8</v>
      </c>
      <c r="B323">
        <v>1989</v>
      </c>
      <c r="C323">
        <v>28.526012353435235</v>
      </c>
    </row>
    <row r="324" spans="1:3" x14ac:dyDescent="0.35">
      <c r="A324" t="s">
        <v>8</v>
      </c>
      <c r="B324">
        <v>1990</v>
      </c>
      <c r="C324">
        <v>32.817442645229121</v>
      </c>
    </row>
    <row r="325" spans="1:3" x14ac:dyDescent="0.35">
      <c r="A325" t="s">
        <v>8</v>
      </c>
      <c r="B325">
        <v>1999</v>
      </c>
      <c r="C325">
        <v>17.849676207999423</v>
      </c>
    </row>
    <row r="326" spans="1:3" x14ac:dyDescent="0.35">
      <c r="A326" t="s">
        <v>8</v>
      </c>
      <c r="B326">
        <v>2000</v>
      </c>
      <c r="C326">
        <v>14.532362820171707</v>
      </c>
    </row>
    <row r="327" spans="1:3" x14ac:dyDescent="0.35">
      <c r="A327" t="s">
        <v>8</v>
      </c>
      <c r="B327">
        <v>2001</v>
      </c>
      <c r="C327">
        <v>13.1240173043319</v>
      </c>
    </row>
    <row r="328" spans="1:3" x14ac:dyDescent="0.35">
      <c r="A328" t="s">
        <v>8</v>
      </c>
      <c r="B328">
        <v>2002</v>
      </c>
      <c r="C328">
        <v>26.123186509684807</v>
      </c>
    </row>
    <row r="329" spans="1:3" x14ac:dyDescent="0.35">
      <c r="A329" t="s">
        <v>8</v>
      </c>
      <c r="B329">
        <v>2003</v>
      </c>
      <c r="C329">
        <v>34.62164012783348</v>
      </c>
    </row>
    <row r="330" spans="1:3" x14ac:dyDescent="0.35">
      <c r="A330" t="s">
        <v>8</v>
      </c>
      <c r="B330">
        <v>2004</v>
      </c>
      <c r="C330">
        <v>41.855505668887425</v>
      </c>
    </row>
    <row r="331" spans="1:3" x14ac:dyDescent="0.35">
      <c r="A331" t="s">
        <v>8</v>
      </c>
      <c r="B331">
        <v>2005</v>
      </c>
      <c r="C331">
        <v>44.723804628718732</v>
      </c>
    </row>
    <row r="332" spans="1:3" x14ac:dyDescent="0.35">
      <c r="A332" t="s">
        <v>8</v>
      </c>
      <c r="B332">
        <v>2006</v>
      </c>
      <c r="C332">
        <v>46.827718309010336</v>
      </c>
    </row>
    <row r="333" spans="1:3" x14ac:dyDescent="0.35">
      <c r="A333" t="s">
        <v>8</v>
      </c>
      <c r="B333">
        <v>2008</v>
      </c>
      <c r="C333">
        <v>64.986541048041303</v>
      </c>
    </row>
    <row r="334" spans="1:3" x14ac:dyDescent="0.35">
      <c r="A334" t="s">
        <v>8</v>
      </c>
      <c r="B334">
        <v>2012</v>
      </c>
      <c r="C334">
        <v>78.21859605329027</v>
      </c>
    </row>
    <row r="335" spans="1:3" x14ac:dyDescent="0.35">
      <c r="A335" t="s">
        <v>8</v>
      </c>
      <c r="B335">
        <v>2013</v>
      </c>
      <c r="C335">
        <v>86.02760145594219</v>
      </c>
    </row>
    <row r="336" spans="1:3" x14ac:dyDescent="0.35">
      <c r="A336" t="s">
        <v>8</v>
      </c>
      <c r="B336">
        <v>2014</v>
      </c>
      <c r="C336">
        <v>93.114567051815257</v>
      </c>
    </row>
    <row r="337" spans="1:3" x14ac:dyDescent="0.35">
      <c r="A337" t="s">
        <v>8</v>
      </c>
      <c r="B337">
        <v>2015</v>
      </c>
      <c r="C337">
        <v>90.932723732373319</v>
      </c>
    </row>
    <row r="338" spans="1:3" x14ac:dyDescent="0.35">
      <c r="A338" t="s">
        <v>8</v>
      </c>
      <c r="B338">
        <v>2016</v>
      </c>
      <c r="C338">
        <v>79.626312678427439</v>
      </c>
    </row>
    <row r="339" spans="1:3" x14ac:dyDescent="0.35">
      <c r="A339" t="s">
        <v>8</v>
      </c>
      <c r="B339">
        <v>2017</v>
      </c>
      <c r="C339">
        <v>116.93311073744178</v>
      </c>
    </row>
    <row r="340" spans="1:3" x14ac:dyDescent="0.35">
      <c r="A340" t="s">
        <v>8</v>
      </c>
      <c r="B340">
        <v>2018</v>
      </c>
      <c r="C340">
        <v>90.260724939316887</v>
      </c>
    </row>
    <row r="341" spans="1:3" x14ac:dyDescent="0.35">
      <c r="A341" t="s">
        <v>8</v>
      </c>
      <c r="B341">
        <v>2019</v>
      </c>
      <c r="C341">
        <v>68.117852544467624</v>
      </c>
    </row>
    <row r="342" spans="1:3" x14ac:dyDescent="0.35">
      <c r="A342" t="s">
        <v>8</v>
      </c>
      <c r="B342">
        <v>2020</v>
      </c>
      <c r="C342">
        <v>71.80334420242859</v>
      </c>
    </row>
    <row r="343" spans="1:3" x14ac:dyDescent="0.35">
      <c r="A343" t="s">
        <v>8</v>
      </c>
      <c r="B343">
        <v>2021</v>
      </c>
      <c r="C343">
        <v>97.451777571680694</v>
      </c>
    </row>
    <row r="344" spans="1:3" x14ac:dyDescent="0.35">
      <c r="A344" t="s">
        <v>8</v>
      </c>
      <c r="B344">
        <v>2022</v>
      </c>
      <c r="C344">
        <v>109.99428129097663</v>
      </c>
    </row>
    <row r="345" spans="1:3" x14ac:dyDescent="0.35">
      <c r="A345" t="s">
        <v>8</v>
      </c>
      <c r="B345">
        <v>2023</v>
      </c>
      <c r="C345">
        <v>149.0562296838394</v>
      </c>
    </row>
    <row r="346" spans="1:3" x14ac:dyDescent="0.35">
      <c r="A346" t="s">
        <v>8</v>
      </c>
      <c r="B346">
        <v>2024</v>
      </c>
      <c r="C346">
        <v>167.31720423996865</v>
      </c>
    </row>
    <row r="347" spans="1:3" x14ac:dyDescent="0.35">
      <c r="A347" t="s">
        <v>8</v>
      </c>
      <c r="B347">
        <v>2025</v>
      </c>
      <c r="C347">
        <v>216.91373735984038</v>
      </c>
    </row>
    <row r="348" spans="1:3" x14ac:dyDescent="0.35">
      <c r="A348" t="s">
        <v>9</v>
      </c>
      <c r="B348">
        <v>1977</v>
      </c>
      <c r="C348">
        <v>5.6505059622784923</v>
      </c>
    </row>
    <row r="349" spans="1:3" x14ac:dyDescent="0.35">
      <c r="A349" t="s">
        <v>9</v>
      </c>
      <c r="B349">
        <v>1978</v>
      </c>
      <c r="C349">
        <v>14.30586229422682</v>
      </c>
    </row>
    <row r="350" spans="1:3" x14ac:dyDescent="0.35">
      <c r="A350" t="s">
        <v>9</v>
      </c>
      <c r="B350">
        <v>1979</v>
      </c>
      <c r="C350">
        <v>24.355619031492978</v>
      </c>
    </row>
    <row r="351" spans="1:3" x14ac:dyDescent="0.35">
      <c r="A351" t="s">
        <v>9</v>
      </c>
      <c r="B351">
        <v>1980</v>
      </c>
      <c r="C351">
        <v>31.844060600212291</v>
      </c>
    </row>
    <row r="352" spans="1:3" x14ac:dyDescent="0.35">
      <c r="A352" t="s">
        <v>9</v>
      </c>
      <c r="B352">
        <v>1981</v>
      </c>
      <c r="C352">
        <v>31.162681747452609</v>
      </c>
    </row>
    <row r="353" spans="1:3" x14ac:dyDescent="0.35">
      <c r="A353" t="s">
        <v>9</v>
      </c>
      <c r="B353">
        <v>1982</v>
      </c>
      <c r="C353">
        <v>23.551463589922886</v>
      </c>
    </row>
    <row r="354" spans="1:3" x14ac:dyDescent="0.35">
      <c r="A354" t="s">
        <v>9</v>
      </c>
      <c r="B354">
        <v>1983</v>
      </c>
      <c r="C354">
        <v>24.454614241565096</v>
      </c>
    </row>
    <row r="355" spans="1:3" x14ac:dyDescent="0.35">
      <c r="A355" t="s">
        <v>9</v>
      </c>
      <c r="B355">
        <v>1984</v>
      </c>
      <c r="C355">
        <v>26.109660574412533</v>
      </c>
    </row>
    <row r="356" spans="1:3" x14ac:dyDescent="0.35">
      <c r="A356" t="s">
        <v>9</v>
      </c>
      <c r="B356">
        <v>1985</v>
      </c>
      <c r="C356">
        <v>20.997913348786117</v>
      </c>
    </row>
    <row r="357" spans="1:3" x14ac:dyDescent="0.35">
      <c r="A357" t="s">
        <v>9</v>
      </c>
      <c r="B357">
        <v>1986</v>
      </c>
      <c r="C357">
        <v>34.310908181402134</v>
      </c>
    </row>
    <row r="358" spans="1:3" x14ac:dyDescent="0.35">
      <c r="A358" t="s">
        <v>9</v>
      </c>
      <c r="B358">
        <v>1987</v>
      </c>
      <c r="C358">
        <v>73.826342811535852</v>
      </c>
    </row>
    <row r="359" spans="1:3" x14ac:dyDescent="0.35">
      <c r="A359" t="s">
        <v>9</v>
      </c>
      <c r="B359">
        <v>1988</v>
      </c>
      <c r="C359">
        <v>93.74709475606889</v>
      </c>
    </row>
    <row r="360" spans="1:3" x14ac:dyDescent="0.35">
      <c r="A360" t="s">
        <v>9</v>
      </c>
      <c r="B360">
        <v>1989</v>
      </c>
      <c r="C360">
        <v>102.79841579441062</v>
      </c>
    </row>
    <row r="361" spans="1:3" x14ac:dyDescent="0.35">
      <c r="A361" t="s">
        <v>9</v>
      </c>
      <c r="B361">
        <v>1990</v>
      </c>
      <c r="C361">
        <v>156.2508398415454</v>
      </c>
    </row>
    <row r="362" spans="1:3" x14ac:dyDescent="0.35">
      <c r="A362" t="s">
        <v>9</v>
      </c>
      <c r="B362">
        <v>1991</v>
      </c>
      <c r="C362">
        <v>172.26918815172439</v>
      </c>
    </row>
    <row r="363" spans="1:3" x14ac:dyDescent="0.35">
      <c r="A363" t="s">
        <v>9</v>
      </c>
      <c r="B363">
        <v>1992</v>
      </c>
      <c r="C363">
        <v>177.98604560773182</v>
      </c>
    </row>
    <row r="364" spans="1:3" x14ac:dyDescent="0.35">
      <c r="A364" t="s">
        <v>9</v>
      </c>
      <c r="B364">
        <v>1993</v>
      </c>
      <c r="C364">
        <v>185.67148287090345</v>
      </c>
    </row>
    <row r="365" spans="1:3" x14ac:dyDescent="0.35">
      <c r="A365" t="s">
        <v>9</v>
      </c>
      <c r="B365">
        <v>1994</v>
      </c>
      <c r="C365">
        <v>170.43376231538562</v>
      </c>
    </row>
    <row r="366" spans="1:3" x14ac:dyDescent="0.35">
      <c r="A366" t="s">
        <v>9</v>
      </c>
      <c r="B366">
        <v>1995</v>
      </c>
      <c r="C366">
        <v>165.87397780110456</v>
      </c>
    </row>
    <row r="367" spans="1:3" x14ac:dyDescent="0.35">
      <c r="A367" t="s">
        <v>9</v>
      </c>
      <c r="B367">
        <v>1996</v>
      </c>
      <c r="C367">
        <v>140.56013476926779</v>
      </c>
    </row>
    <row r="368" spans="1:3" x14ac:dyDescent="0.35">
      <c r="A368" t="s">
        <v>9</v>
      </c>
      <c r="B368">
        <v>1997</v>
      </c>
      <c r="C368">
        <v>160.50767511422279</v>
      </c>
    </row>
    <row r="369" spans="1:3" x14ac:dyDescent="0.35">
      <c r="A369" t="s">
        <v>9</v>
      </c>
      <c r="B369">
        <v>1998</v>
      </c>
      <c r="C369">
        <v>181.05104735581702</v>
      </c>
    </row>
    <row r="370" spans="1:3" x14ac:dyDescent="0.35">
      <c r="A370" t="s">
        <v>9</v>
      </c>
      <c r="B370">
        <v>1999</v>
      </c>
      <c r="C370">
        <v>169.5787561629617</v>
      </c>
    </row>
    <row r="371" spans="1:3" x14ac:dyDescent="0.35">
      <c r="A371" t="s">
        <v>9</v>
      </c>
      <c r="B371">
        <v>2000</v>
      </c>
      <c r="C371">
        <v>184.7183946121188</v>
      </c>
    </row>
    <row r="372" spans="1:3" x14ac:dyDescent="0.35">
      <c r="A372" t="s">
        <v>9</v>
      </c>
      <c r="B372">
        <v>2001</v>
      </c>
      <c r="C372">
        <v>210.32209355675926</v>
      </c>
    </row>
    <row r="373" spans="1:3" x14ac:dyDescent="0.35">
      <c r="A373" t="s">
        <v>9</v>
      </c>
      <c r="B373">
        <v>2002</v>
      </c>
      <c r="C373">
        <v>223.5492588261323</v>
      </c>
    </row>
    <row r="374" spans="1:3" x14ac:dyDescent="0.35">
      <c r="A374" t="s">
        <v>9</v>
      </c>
      <c r="B374">
        <v>2003</v>
      </c>
      <c r="C374">
        <v>301.01435777879686</v>
      </c>
    </row>
    <row r="375" spans="1:3" x14ac:dyDescent="0.35">
      <c r="A375" t="s">
        <v>9</v>
      </c>
      <c r="B375">
        <v>2004</v>
      </c>
      <c r="C375">
        <v>314.03889714014178</v>
      </c>
    </row>
    <row r="376" spans="1:3" x14ac:dyDescent="0.35">
      <c r="A376" t="s">
        <v>9</v>
      </c>
      <c r="B376">
        <v>2005</v>
      </c>
      <c r="C376">
        <v>283.83574510552114</v>
      </c>
    </row>
    <row r="377" spans="1:3" x14ac:dyDescent="0.35">
      <c r="A377" t="s">
        <v>9</v>
      </c>
      <c r="B377">
        <v>2006</v>
      </c>
      <c r="C377">
        <v>272.93427475383658</v>
      </c>
    </row>
    <row r="378" spans="1:3" x14ac:dyDescent="0.35">
      <c r="A378" t="s">
        <v>9</v>
      </c>
      <c r="B378">
        <v>2007</v>
      </c>
      <c r="C378">
        <v>306.45140271257338</v>
      </c>
    </row>
    <row r="379" spans="1:3" x14ac:dyDescent="0.35">
      <c r="A379" t="s">
        <v>9</v>
      </c>
      <c r="B379">
        <v>2008</v>
      </c>
      <c r="C379">
        <v>332.40025428967346</v>
      </c>
    </row>
    <row r="380" spans="1:3" x14ac:dyDescent="0.35">
      <c r="A380" t="s">
        <v>9</v>
      </c>
      <c r="B380">
        <v>2009</v>
      </c>
      <c r="C380">
        <v>330.14727873947959</v>
      </c>
    </row>
    <row r="381" spans="1:3" x14ac:dyDescent="0.35">
      <c r="A381" t="s">
        <v>9</v>
      </c>
      <c r="B381">
        <v>2010</v>
      </c>
      <c r="C381">
        <v>348.67272529225954</v>
      </c>
    </row>
    <row r="382" spans="1:3" x14ac:dyDescent="0.35">
      <c r="A382" t="s">
        <v>9</v>
      </c>
      <c r="B382">
        <v>2011</v>
      </c>
      <c r="C382">
        <v>363.32448115304521</v>
      </c>
    </row>
    <row r="383" spans="1:3" x14ac:dyDescent="0.35">
      <c r="A383" t="s">
        <v>9</v>
      </c>
      <c r="B383">
        <v>2012</v>
      </c>
      <c r="C383">
        <v>326.87416165078997</v>
      </c>
    </row>
    <row r="384" spans="1:3" x14ac:dyDescent="0.35">
      <c r="A384" t="s">
        <v>9</v>
      </c>
      <c r="B384">
        <v>2013</v>
      </c>
      <c r="C384">
        <v>306.43857357680935</v>
      </c>
    </row>
    <row r="385" spans="1:3" x14ac:dyDescent="0.35">
      <c r="A385" t="s">
        <v>9</v>
      </c>
      <c r="B385">
        <v>2014</v>
      </c>
      <c r="C385">
        <v>346.28132166033788</v>
      </c>
    </row>
    <row r="386" spans="1:3" x14ac:dyDescent="0.35">
      <c r="A386" t="s">
        <v>9</v>
      </c>
      <c r="B386">
        <v>2015</v>
      </c>
      <c r="C386">
        <v>383.73987754295871</v>
      </c>
    </row>
    <row r="387" spans="1:3" x14ac:dyDescent="0.35">
      <c r="A387" t="s">
        <v>9</v>
      </c>
      <c r="B387">
        <v>2016</v>
      </c>
      <c r="C387">
        <v>514.46344922969661</v>
      </c>
    </row>
    <row r="388" spans="1:3" x14ac:dyDescent="0.35">
      <c r="A388" t="s">
        <v>9</v>
      </c>
      <c r="B388">
        <v>2017</v>
      </c>
      <c r="C388">
        <v>522.43045551562147</v>
      </c>
    </row>
    <row r="389" spans="1:3" x14ac:dyDescent="0.35">
      <c r="A389" t="s">
        <v>9</v>
      </c>
      <c r="B389">
        <v>2018</v>
      </c>
      <c r="C389">
        <v>498.08743235465437</v>
      </c>
    </row>
    <row r="390" spans="1:3" x14ac:dyDescent="0.35">
      <c r="A390" t="s">
        <v>9</v>
      </c>
      <c r="B390">
        <v>2019</v>
      </c>
      <c r="C390">
        <v>514.72093023255809</v>
      </c>
    </row>
    <row r="391" spans="1:3" x14ac:dyDescent="0.35">
      <c r="A391" t="s">
        <v>9</v>
      </c>
      <c r="B391">
        <v>2020</v>
      </c>
      <c r="C391">
        <v>499.02747951960544</v>
      </c>
    </row>
    <row r="392" spans="1:3" x14ac:dyDescent="0.35">
      <c r="A392" t="s">
        <v>9</v>
      </c>
      <c r="B392">
        <v>2021</v>
      </c>
      <c r="C392">
        <v>536.63040090548213</v>
      </c>
    </row>
    <row r="393" spans="1:3" x14ac:dyDescent="0.35">
      <c r="A393" t="s">
        <v>9</v>
      </c>
      <c r="B393">
        <v>2022</v>
      </c>
      <c r="C393">
        <v>512.72768905482155</v>
      </c>
    </row>
    <row r="394" spans="1:3" x14ac:dyDescent="0.35">
      <c r="A394" t="s">
        <v>9</v>
      </c>
      <c r="B394">
        <v>2023</v>
      </c>
      <c r="C394">
        <v>349.64059069630122</v>
      </c>
    </row>
    <row r="395" spans="1:3" x14ac:dyDescent="0.35">
      <c r="A395" t="s">
        <v>9</v>
      </c>
      <c r="B395">
        <v>2024</v>
      </c>
      <c r="C395">
        <v>519.3692951972763</v>
      </c>
    </row>
    <row r="396" spans="1:3" x14ac:dyDescent="0.35">
      <c r="A396" t="s">
        <v>9</v>
      </c>
      <c r="B396">
        <v>2025</v>
      </c>
      <c r="C396">
        <v>614.35351622931739</v>
      </c>
    </row>
    <row r="397" spans="1:3" x14ac:dyDescent="0.35">
      <c r="A397" t="s">
        <v>10</v>
      </c>
      <c r="B397">
        <v>1960</v>
      </c>
      <c r="C397">
        <v>1.2683782295723811</v>
      </c>
    </row>
    <row r="398" spans="1:3" x14ac:dyDescent="0.35">
      <c r="A398" t="s">
        <v>10</v>
      </c>
      <c r="B398">
        <v>1961</v>
      </c>
      <c r="C398">
        <v>1.6431542037021938</v>
      </c>
    </row>
    <row r="399" spans="1:3" x14ac:dyDescent="0.35">
      <c r="A399" t="s">
        <v>10</v>
      </c>
      <c r="B399">
        <v>1962</v>
      </c>
      <c r="C399">
        <v>4.9017607157142038</v>
      </c>
    </row>
    <row r="400" spans="1:3" x14ac:dyDescent="0.35">
      <c r="A400" t="s">
        <v>10</v>
      </c>
      <c r="B400">
        <v>1963</v>
      </c>
      <c r="C400">
        <v>5.2812877526365627</v>
      </c>
    </row>
    <row r="401" spans="1:3" x14ac:dyDescent="0.35">
      <c r="A401" t="s">
        <v>10</v>
      </c>
      <c r="B401">
        <v>1964</v>
      </c>
      <c r="C401">
        <v>5.3585931346341429</v>
      </c>
    </row>
    <row r="402" spans="1:3" x14ac:dyDescent="0.35">
      <c r="A402" t="s">
        <v>10</v>
      </c>
      <c r="B402">
        <v>1965</v>
      </c>
      <c r="C402">
        <v>3.5093303299994694</v>
      </c>
    </row>
    <row r="403" spans="1:3" x14ac:dyDescent="0.35">
      <c r="A403" t="s">
        <v>10</v>
      </c>
      <c r="B403">
        <v>1966</v>
      </c>
      <c r="C403">
        <v>3.9075537899201396</v>
      </c>
    </row>
    <row r="404" spans="1:3" x14ac:dyDescent="0.35">
      <c r="A404" t="s">
        <v>10</v>
      </c>
      <c r="B404">
        <v>1967</v>
      </c>
      <c r="C404">
        <v>3.695106930459632</v>
      </c>
    </row>
    <row r="405" spans="1:3" x14ac:dyDescent="0.35">
      <c r="A405" t="s">
        <v>10</v>
      </c>
      <c r="B405">
        <v>1968</v>
      </c>
      <c r="C405">
        <v>3.7606285218023552</v>
      </c>
    </row>
    <row r="406" spans="1:3" x14ac:dyDescent="0.35">
      <c r="A406" t="s">
        <v>10</v>
      </c>
      <c r="B406">
        <v>1969</v>
      </c>
      <c r="C406">
        <v>4.0236804751481952</v>
      </c>
    </row>
    <row r="407" spans="1:3" x14ac:dyDescent="0.35">
      <c r="A407" t="s">
        <v>10</v>
      </c>
      <c r="B407">
        <v>1970</v>
      </c>
      <c r="C407">
        <v>4.185916940120042</v>
      </c>
    </row>
    <row r="408" spans="1:3" x14ac:dyDescent="0.35">
      <c r="A408" t="s">
        <v>10</v>
      </c>
      <c r="B408">
        <v>1971</v>
      </c>
      <c r="C408">
        <v>4.3434680922151694</v>
      </c>
    </row>
    <row r="409" spans="1:3" x14ac:dyDescent="0.35">
      <c r="A409" t="s">
        <v>10</v>
      </c>
      <c r="B409">
        <v>1972</v>
      </c>
      <c r="C409">
        <v>4.9478629358642685</v>
      </c>
    </row>
    <row r="410" spans="1:3" x14ac:dyDescent="0.35">
      <c r="A410" t="s">
        <v>10</v>
      </c>
      <c r="B410">
        <v>1973</v>
      </c>
      <c r="C410">
        <v>6.0792591828219429</v>
      </c>
    </row>
    <row r="411" spans="1:3" x14ac:dyDescent="0.35">
      <c r="A411" t="s">
        <v>10</v>
      </c>
      <c r="B411">
        <v>1974</v>
      </c>
      <c r="C411">
        <v>6.2690845640929771</v>
      </c>
    </row>
    <row r="412" spans="1:3" x14ac:dyDescent="0.35">
      <c r="A412" t="s">
        <v>10</v>
      </c>
      <c r="B412">
        <v>1975</v>
      </c>
      <c r="C412">
        <v>18.062366725303647</v>
      </c>
    </row>
    <row r="413" spans="1:3" x14ac:dyDescent="0.35">
      <c r="A413" t="s">
        <v>10</v>
      </c>
      <c r="B413">
        <v>1976</v>
      </c>
      <c r="C413">
        <v>19.531282695124503</v>
      </c>
    </row>
    <row r="414" spans="1:3" x14ac:dyDescent="0.35">
      <c r="A414" t="s">
        <v>10</v>
      </c>
      <c r="B414">
        <v>1977</v>
      </c>
      <c r="C414">
        <v>22.903777271247147</v>
      </c>
    </row>
    <row r="415" spans="1:3" x14ac:dyDescent="0.35">
      <c r="A415" t="s">
        <v>10</v>
      </c>
      <c r="B415">
        <v>1978</v>
      </c>
      <c r="C415">
        <v>32.372283475732978</v>
      </c>
    </row>
    <row r="416" spans="1:3" x14ac:dyDescent="0.35">
      <c r="A416" t="s">
        <v>10</v>
      </c>
      <c r="B416">
        <v>1979</v>
      </c>
      <c r="C416">
        <v>32.032417897537627</v>
      </c>
    </row>
    <row r="417" spans="1:3" x14ac:dyDescent="0.35">
      <c r="A417" t="s">
        <v>10</v>
      </c>
      <c r="B417">
        <v>1980</v>
      </c>
      <c r="C417">
        <v>35.360658841347977</v>
      </c>
    </row>
    <row r="418" spans="1:3" x14ac:dyDescent="0.35">
      <c r="A418" t="s">
        <v>10</v>
      </c>
      <c r="B418">
        <v>1981</v>
      </c>
      <c r="C418">
        <v>33.91589476357133</v>
      </c>
    </row>
    <row r="419" spans="1:3" x14ac:dyDescent="0.35">
      <c r="A419" t="s">
        <v>10</v>
      </c>
      <c r="B419">
        <v>1982</v>
      </c>
      <c r="C419">
        <v>32.866107131336619</v>
      </c>
    </row>
    <row r="420" spans="1:3" x14ac:dyDescent="0.35">
      <c r="A420" t="s">
        <v>10</v>
      </c>
      <c r="B420">
        <v>1983</v>
      </c>
      <c r="C420">
        <v>29.317755979279184</v>
      </c>
    </row>
    <row r="421" spans="1:3" x14ac:dyDescent="0.35">
      <c r="A421" t="s">
        <v>10</v>
      </c>
      <c r="B421">
        <v>1984</v>
      </c>
      <c r="C421">
        <v>26.968328691381533</v>
      </c>
    </row>
    <row r="422" spans="1:3" x14ac:dyDescent="0.35">
      <c r="A422" t="s">
        <v>10</v>
      </c>
      <c r="B422">
        <v>1985</v>
      </c>
      <c r="C422">
        <v>27.106616836908447</v>
      </c>
    </row>
    <row r="423" spans="1:3" x14ac:dyDescent="0.35">
      <c r="A423" t="s">
        <v>10</v>
      </c>
      <c r="B423">
        <v>1986</v>
      </c>
      <c r="C423">
        <v>51.180170138547993</v>
      </c>
    </row>
    <row r="424" spans="1:3" x14ac:dyDescent="0.35">
      <c r="A424" t="s">
        <v>10</v>
      </c>
      <c r="B424">
        <v>1987</v>
      </c>
      <c r="C424">
        <v>50.712557854773287</v>
      </c>
    </row>
    <row r="425" spans="1:3" x14ac:dyDescent="0.35">
      <c r="A425" t="s">
        <v>10</v>
      </c>
      <c r="B425">
        <v>1988</v>
      </c>
      <c r="C425">
        <v>57.186887271359886</v>
      </c>
    </row>
    <row r="426" spans="1:3" x14ac:dyDescent="0.35">
      <c r="A426" t="s">
        <v>10</v>
      </c>
      <c r="B426">
        <v>1989</v>
      </c>
      <c r="C426">
        <v>66.816506169124295</v>
      </c>
    </row>
    <row r="427" spans="1:3" x14ac:dyDescent="0.35">
      <c r="A427" t="s">
        <v>10</v>
      </c>
      <c r="B427">
        <v>1990</v>
      </c>
      <c r="C427">
        <v>84.465502359833252</v>
      </c>
    </row>
    <row r="428" spans="1:3" x14ac:dyDescent="0.35">
      <c r="A428" t="s">
        <v>10</v>
      </c>
      <c r="B428">
        <v>1991</v>
      </c>
      <c r="C428">
        <v>69.505542223340782</v>
      </c>
    </row>
    <row r="429" spans="1:3" x14ac:dyDescent="0.35">
      <c r="A429" t="s">
        <v>10</v>
      </c>
      <c r="B429">
        <v>1992</v>
      </c>
      <c r="C429">
        <v>71.11661856044006</v>
      </c>
    </row>
    <row r="430" spans="1:3" x14ac:dyDescent="0.35">
      <c r="A430" t="s">
        <v>10</v>
      </c>
      <c r="B430">
        <v>1993</v>
      </c>
      <c r="C430">
        <v>60.526975628878063</v>
      </c>
    </row>
    <row r="431" spans="1:3" x14ac:dyDescent="0.35">
      <c r="A431" t="s">
        <v>10</v>
      </c>
      <c r="B431">
        <v>1994</v>
      </c>
      <c r="C431">
        <v>30.259093487990921</v>
      </c>
    </row>
    <row r="432" spans="1:3" x14ac:dyDescent="0.35">
      <c r="A432" t="s">
        <v>10</v>
      </c>
      <c r="B432">
        <v>1995</v>
      </c>
      <c r="C432">
        <v>36.862814235457222</v>
      </c>
    </row>
    <row r="433" spans="1:3" x14ac:dyDescent="0.35">
      <c r="A433" t="s">
        <v>10</v>
      </c>
      <c r="B433">
        <v>1996</v>
      </c>
      <c r="C433">
        <v>37.141874139872385</v>
      </c>
    </row>
    <row r="434" spans="1:3" x14ac:dyDescent="0.35">
      <c r="A434" t="s">
        <v>10</v>
      </c>
      <c r="B434">
        <v>1997</v>
      </c>
      <c r="C434">
        <v>38.549246233738643</v>
      </c>
    </row>
    <row r="435" spans="1:3" x14ac:dyDescent="0.35">
      <c r="A435" t="s">
        <v>10</v>
      </c>
      <c r="B435">
        <v>1998</v>
      </c>
      <c r="C435">
        <v>39.494738555001085</v>
      </c>
    </row>
    <row r="436" spans="1:3" x14ac:dyDescent="0.35">
      <c r="A436" t="s">
        <v>10</v>
      </c>
      <c r="B436">
        <v>1999</v>
      </c>
      <c r="C436">
        <v>41.741175476978206</v>
      </c>
    </row>
    <row r="437" spans="1:3" x14ac:dyDescent="0.35">
      <c r="A437" t="s">
        <v>10</v>
      </c>
      <c r="B437">
        <v>2000</v>
      </c>
      <c r="C437">
        <v>36.658539051878151</v>
      </c>
    </row>
    <row r="438" spans="1:3" x14ac:dyDescent="0.35">
      <c r="A438" t="s">
        <v>10</v>
      </c>
      <c r="B438">
        <v>2001</v>
      </c>
      <c r="C438">
        <v>36.832965231045009</v>
      </c>
    </row>
    <row r="439" spans="1:3" x14ac:dyDescent="0.35">
      <c r="A439" t="s">
        <v>10</v>
      </c>
      <c r="B439">
        <v>2002</v>
      </c>
      <c r="C439">
        <v>42.468449958966289</v>
      </c>
    </row>
    <row r="440" spans="1:3" x14ac:dyDescent="0.35">
      <c r="A440" t="s">
        <v>10</v>
      </c>
      <c r="B440">
        <v>2003</v>
      </c>
      <c r="C440">
        <v>50.757054370268406</v>
      </c>
    </row>
    <row r="441" spans="1:3" x14ac:dyDescent="0.35">
      <c r="A441" t="s">
        <v>10</v>
      </c>
      <c r="B441">
        <v>2004</v>
      </c>
      <c r="C441">
        <v>65.684242407034091</v>
      </c>
    </row>
    <row r="442" spans="1:3" x14ac:dyDescent="0.35">
      <c r="A442" t="s">
        <v>10</v>
      </c>
      <c r="B442">
        <v>2005</v>
      </c>
      <c r="C442">
        <v>73.843342155353497</v>
      </c>
    </row>
    <row r="443" spans="1:3" x14ac:dyDescent="0.35">
      <c r="A443" t="s">
        <v>10</v>
      </c>
      <c r="B443">
        <v>2006</v>
      </c>
      <c r="C443">
        <v>72.632867333473584</v>
      </c>
    </row>
    <row r="444" spans="1:3" x14ac:dyDescent="0.35">
      <c r="A444" t="s">
        <v>10</v>
      </c>
      <c r="B444">
        <v>2007</v>
      </c>
      <c r="C444">
        <v>107.81672846242283</v>
      </c>
    </row>
    <row r="445" spans="1:3" x14ac:dyDescent="0.35">
      <c r="A445" t="s">
        <v>10</v>
      </c>
      <c r="B445">
        <v>2008</v>
      </c>
      <c r="C445">
        <v>116.99958687375086</v>
      </c>
    </row>
    <row r="446" spans="1:3" x14ac:dyDescent="0.35">
      <c r="A446" t="s">
        <v>10</v>
      </c>
      <c r="B446">
        <v>2009</v>
      </c>
      <c r="C446">
        <v>127.33329662463522</v>
      </c>
    </row>
    <row r="447" spans="1:3" x14ac:dyDescent="0.35">
      <c r="A447" t="s">
        <v>10</v>
      </c>
      <c r="B447">
        <v>2010</v>
      </c>
      <c r="C447">
        <v>123.70047468386377</v>
      </c>
    </row>
    <row r="448" spans="1:3" x14ac:dyDescent="0.35">
      <c r="A448" t="s">
        <v>10</v>
      </c>
      <c r="B448">
        <v>2011</v>
      </c>
      <c r="C448">
        <v>138.85086020183698</v>
      </c>
    </row>
    <row r="449" spans="1:3" x14ac:dyDescent="0.35">
      <c r="A449" t="s">
        <v>10</v>
      </c>
      <c r="B449">
        <v>2012</v>
      </c>
      <c r="C449">
        <v>147.72969891896022</v>
      </c>
    </row>
    <row r="450" spans="1:3" x14ac:dyDescent="0.35">
      <c r="A450" t="s">
        <v>10</v>
      </c>
      <c r="B450">
        <v>2013</v>
      </c>
      <c r="C450">
        <v>166.13634523520363</v>
      </c>
    </row>
    <row r="451" spans="1:3" x14ac:dyDescent="0.35">
      <c r="A451" t="s">
        <v>10</v>
      </c>
      <c r="B451">
        <v>2014</v>
      </c>
      <c r="C451">
        <v>177.16697177629396</v>
      </c>
    </row>
    <row r="452" spans="1:3" x14ac:dyDescent="0.35">
      <c r="A452" t="s">
        <v>10</v>
      </c>
      <c r="B452">
        <v>2015</v>
      </c>
      <c r="C452">
        <v>147.9347366641305</v>
      </c>
    </row>
    <row r="453" spans="1:3" x14ac:dyDescent="0.35">
      <c r="A453" t="s">
        <v>10</v>
      </c>
      <c r="B453">
        <v>2016</v>
      </c>
      <c r="C453">
        <v>149.46736322745178</v>
      </c>
    </row>
    <row r="454" spans="1:3" x14ac:dyDescent="0.35">
      <c r="A454" t="s">
        <v>10</v>
      </c>
      <c r="B454">
        <v>2017</v>
      </c>
      <c r="C454">
        <v>191.0658387643044</v>
      </c>
    </row>
    <row r="455" spans="1:3" x14ac:dyDescent="0.35">
      <c r="A455" t="s">
        <v>10</v>
      </c>
      <c r="B455">
        <v>2018</v>
      </c>
      <c r="C455">
        <v>305.7810790579835</v>
      </c>
    </row>
    <row r="456" spans="1:3" x14ac:dyDescent="0.35">
      <c r="A456" t="s">
        <v>10</v>
      </c>
      <c r="B456">
        <v>2019</v>
      </c>
      <c r="C456">
        <v>357.92155751777432</v>
      </c>
    </row>
    <row r="457" spans="1:3" x14ac:dyDescent="0.35">
      <c r="A457" t="s">
        <v>10</v>
      </c>
      <c r="B457">
        <v>2020</v>
      </c>
      <c r="C457">
        <v>382.46467736049078</v>
      </c>
    </row>
    <row r="458" spans="1:3" x14ac:dyDescent="0.35">
      <c r="A458" t="s">
        <v>10</v>
      </c>
      <c r="B458">
        <v>2021</v>
      </c>
      <c r="C458">
        <v>458.2790984448859</v>
      </c>
    </row>
    <row r="459" spans="1:3" x14ac:dyDescent="0.35">
      <c r="A459" t="s">
        <v>10</v>
      </c>
      <c r="B459">
        <v>2022</v>
      </c>
      <c r="C459">
        <v>562.58334917027298</v>
      </c>
    </row>
    <row r="460" spans="1:3" x14ac:dyDescent="0.35">
      <c r="A460" t="s">
        <v>10</v>
      </c>
      <c r="B460">
        <v>2023</v>
      </c>
      <c r="C460">
        <v>827.15301886182306</v>
      </c>
    </row>
    <row r="461" spans="1:3" x14ac:dyDescent="0.35">
      <c r="A461" t="s">
        <v>10</v>
      </c>
      <c r="B461">
        <v>2024</v>
      </c>
      <c r="C461">
        <v>1023.7763901984331</v>
      </c>
    </row>
    <row r="462" spans="1:3" x14ac:dyDescent="0.35">
      <c r="A462" t="s">
        <v>10</v>
      </c>
      <c r="B462">
        <v>2025</v>
      </c>
      <c r="C462">
        <v>891.55602944211319</v>
      </c>
    </row>
    <row r="463" spans="1:3" x14ac:dyDescent="0.35">
      <c r="A463" t="s">
        <v>11</v>
      </c>
      <c r="B463">
        <v>1962</v>
      </c>
      <c r="C463">
        <v>8.42</v>
      </c>
    </row>
    <row r="464" spans="1:3" x14ac:dyDescent="0.35">
      <c r="A464" t="s">
        <v>11</v>
      </c>
      <c r="B464">
        <v>1963</v>
      </c>
      <c r="C464">
        <v>1.012</v>
      </c>
    </row>
    <row r="465" spans="1:3" x14ac:dyDescent="0.35">
      <c r="A465" t="s">
        <v>11</v>
      </c>
      <c r="B465">
        <v>1964</v>
      </c>
      <c r="C465">
        <v>1.1619999999999999</v>
      </c>
    </row>
    <row r="466" spans="1:3" x14ac:dyDescent="0.35">
      <c r="A466" t="s">
        <v>11</v>
      </c>
      <c r="B466">
        <v>1965</v>
      </c>
      <c r="C466">
        <v>2.1534814814814816</v>
      </c>
    </row>
    <row r="467" spans="1:3" x14ac:dyDescent="0.35">
      <c r="A467" t="s">
        <v>11</v>
      </c>
      <c r="B467">
        <v>1966</v>
      </c>
      <c r="C467">
        <v>2.2868571428571429</v>
      </c>
    </row>
    <row r="468" spans="1:3" x14ac:dyDescent="0.35">
      <c r="A468" t="s">
        <v>11</v>
      </c>
      <c r="B468">
        <v>1967</v>
      </c>
      <c r="C468">
        <v>2.3759999999999999</v>
      </c>
    </row>
    <row r="469" spans="1:3" x14ac:dyDescent="0.35">
      <c r="A469" t="s">
        <v>11</v>
      </c>
      <c r="B469">
        <v>1968</v>
      </c>
      <c r="C469">
        <v>2.5908571428571427</v>
      </c>
    </row>
    <row r="470" spans="1:3" x14ac:dyDescent="0.35">
      <c r="A470" t="s">
        <v>11</v>
      </c>
      <c r="B470">
        <v>1969</v>
      </c>
      <c r="C470">
        <v>3.3371428571428572</v>
      </c>
    </row>
    <row r="471" spans="1:3" x14ac:dyDescent="0.35">
      <c r="A471" t="s">
        <v>11</v>
      </c>
      <c r="B471">
        <v>1971</v>
      </c>
      <c r="C471">
        <v>2.6285714285714286</v>
      </c>
    </row>
    <row r="472" spans="1:3" x14ac:dyDescent="0.35">
      <c r="A472" t="s">
        <v>11</v>
      </c>
      <c r="B472">
        <v>1972</v>
      </c>
      <c r="C472">
        <v>3.6</v>
      </c>
    </row>
    <row r="473" spans="1:3" x14ac:dyDescent="0.35">
      <c r="A473" t="s">
        <v>11</v>
      </c>
      <c r="B473">
        <v>1973</v>
      </c>
      <c r="C473">
        <v>5.9230675991957629</v>
      </c>
    </row>
    <row r="474" spans="1:3" x14ac:dyDescent="0.35">
      <c r="A474" t="s">
        <v>11</v>
      </c>
      <c r="B474">
        <v>1974</v>
      </c>
      <c r="C474">
        <v>7.6825396825396828</v>
      </c>
    </row>
    <row r="475" spans="1:3" x14ac:dyDescent="0.35">
      <c r="A475" t="s">
        <v>11</v>
      </c>
      <c r="B475">
        <v>1975</v>
      </c>
      <c r="C475">
        <v>8.5333333333333332</v>
      </c>
    </row>
    <row r="476" spans="1:3" x14ac:dyDescent="0.35">
      <c r="A476" t="s">
        <v>11</v>
      </c>
      <c r="B476">
        <v>1976</v>
      </c>
      <c r="C476">
        <v>9.9710144927536231</v>
      </c>
    </row>
    <row r="477" spans="1:3" x14ac:dyDescent="0.35">
      <c r="A477" t="s">
        <v>11</v>
      </c>
      <c r="B477">
        <v>1977</v>
      </c>
      <c r="C477">
        <v>13.955555555555556</v>
      </c>
    </row>
    <row r="478" spans="1:3" x14ac:dyDescent="0.35">
      <c r="A478" t="s">
        <v>11</v>
      </c>
      <c r="B478">
        <v>1978</v>
      </c>
      <c r="C478">
        <v>17.033333333333331</v>
      </c>
    </row>
    <row r="479" spans="1:3" x14ac:dyDescent="0.35">
      <c r="A479" t="s">
        <v>11</v>
      </c>
      <c r="B479">
        <v>1979</v>
      </c>
      <c r="C479">
        <v>20</v>
      </c>
    </row>
    <row r="480" spans="1:3" x14ac:dyDescent="0.35">
      <c r="A480" t="s">
        <v>11</v>
      </c>
      <c r="B480">
        <v>1980</v>
      </c>
      <c r="C480">
        <v>27.763333333333332</v>
      </c>
    </row>
    <row r="481" spans="1:3" x14ac:dyDescent="0.35">
      <c r="A481" t="s">
        <v>11</v>
      </c>
      <c r="B481">
        <v>1981</v>
      </c>
      <c r="C481">
        <v>29.995555555555555</v>
      </c>
    </row>
    <row r="482" spans="1:3" x14ac:dyDescent="0.35">
      <c r="A482" t="s">
        <v>11</v>
      </c>
      <c r="B482">
        <v>1982</v>
      </c>
      <c r="C482">
        <v>36.665555555555549</v>
      </c>
    </row>
    <row r="483" spans="1:3" x14ac:dyDescent="0.35">
      <c r="A483" t="s">
        <v>11</v>
      </c>
      <c r="B483">
        <v>1983</v>
      </c>
      <c r="C483">
        <v>34.369644200055298</v>
      </c>
    </row>
    <row r="484" spans="1:3" x14ac:dyDescent="0.35">
      <c r="A484" t="s">
        <v>11</v>
      </c>
      <c r="B484">
        <v>1984</v>
      </c>
      <c r="C484">
        <v>29.938434035870316</v>
      </c>
    </row>
    <row r="485" spans="1:3" x14ac:dyDescent="0.35">
      <c r="A485" t="s">
        <v>11</v>
      </c>
      <c r="B485">
        <v>1985</v>
      </c>
      <c r="C485">
        <v>32.220298116678123</v>
      </c>
    </row>
    <row r="486" spans="1:3" x14ac:dyDescent="0.35">
      <c r="A486" t="s">
        <v>11</v>
      </c>
      <c r="B486">
        <v>1986</v>
      </c>
      <c r="C486">
        <v>34.607737516532218</v>
      </c>
    </row>
    <row r="487" spans="1:3" x14ac:dyDescent="0.35">
      <c r="A487" t="s">
        <v>11</v>
      </c>
      <c r="B487">
        <v>1987</v>
      </c>
      <c r="C487">
        <v>30.784856430675603</v>
      </c>
    </row>
    <row r="488" spans="1:3" x14ac:dyDescent="0.35">
      <c r="A488" t="s">
        <v>11</v>
      </c>
      <c r="B488">
        <v>1988</v>
      </c>
      <c r="C488">
        <v>34.255493429253178</v>
      </c>
    </row>
    <row r="489" spans="1:3" x14ac:dyDescent="0.35">
      <c r="A489" t="s">
        <v>11</v>
      </c>
      <c r="B489">
        <v>1989</v>
      </c>
      <c r="C489">
        <v>37.903281715794712</v>
      </c>
    </row>
    <row r="490" spans="1:3" x14ac:dyDescent="0.35">
      <c r="A490" t="s">
        <v>11</v>
      </c>
      <c r="B490">
        <v>1990</v>
      </c>
      <c r="C490">
        <v>39.602347376718932</v>
      </c>
    </row>
    <row r="491" spans="1:3" x14ac:dyDescent="0.35">
      <c r="A491" t="s">
        <v>11</v>
      </c>
      <c r="B491">
        <v>1991</v>
      </c>
      <c r="C491">
        <v>42.751758827191445</v>
      </c>
    </row>
    <row r="492" spans="1:3" x14ac:dyDescent="0.35">
      <c r="A492" t="s">
        <v>11</v>
      </c>
      <c r="B492">
        <v>1992</v>
      </c>
      <c r="C492">
        <v>38.986476430968352</v>
      </c>
    </row>
    <row r="493" spans="1:3" x14ac:dyDescent="0.35">
      <c r="A493" t="s">
        <v>11</v>
      </c>
      <c r="B493">
        <v>1993</v>
      </c>
      <c r="C493">
        <v>36.267402586704009</v>
      </c>
    </row>
    <row r="494" spans="1:3" x14ac:dyDescent="0.35">
      <c r="A494" t="s">
        <v>11</v>
      </c>
      <c r="B494">
        <v>1994</v>
      </c>
      <c r="C494">
        <v>41.90974503486872</v>
      </c>
    </row>
    <row r="495" spans="1:3" x14ac:dyDescent="0.35">
      <c r="A495" t="s">
        <v>11</v>
      </c>
      <c r="B495">
        <v>1995</v>
      </c>
      <c r="C495">
        <v>42.108929879843203</v>
      </c>
    </row>
    <row r="496" spans="1:3" x14ac:dyDescent="0.35">
      <c r="A496" t="s">
        <v>11</v>
      </c>
      <c r="B496">
        <v>1996</v>
      </c>
      <c r="C496">
        <v>50.893980782633683</v>
      </c>
    </row>
    <row r="497" spans="1:3" x14ac:dyDescent="0.35">
      <c r="A497" t="s">
        <v>11</v>
      </c>
      <c r="B497">
        <v>1997</v>
      </c>
      <c r="C497">
        <v>61.870123825390024</v>
      </c>
    </row>
    <row r="498" spans="1:3" x14ac:dyDescent="0.35">
      <c r="A498" t="s">
        <v>11</v>
      </c>
      <c r="B498">
        <v>1998</v>
      </c>
      <c r="C498">
        <v>58.736036233211095</v>
      </c>
    </row>
    <row r="499" spans="1:3" x14ac:dyDescent="0.35">
      <c r="A499" t="s">
        <v>11</v>
      </c>
      <c r="B499">
        <v>1999</v>
      </c>
      <c r="C499">
        <v>50.5711882632257</v>
      </c>
    </row>
    <row r="500" spans="1:3" x14ac:dyDescent="0.35">
      <c r="A500" t="s">
        <v>11</v>
      </c>
      <c r="B500">
        <v>2000</v>
      </c>
      <c r="C500">
        <v>42.321552215776087</v>
      </c>
    </row>
    <row r="501" spans="1:3" x14ac:dyDescent="0.35">
      <c r="A501" t="s">
        <v>11</v>
      </c>
      <c r="B501">
        <v>2001</v>
      </c>
      <c r="C501">
        <v>53.230373106377655</v>
      </c>
    </row>
    <row r="502" spans="1:3" x14ac:dyDescent="0.35">
      <c r="A502" t="s">
        <v>11</v>
      </c>
      <c r="B502">
        <v>2002</v>
      </c>
      <c r="C502">
        <v>44.910067053523555</v>
      </c>
    </row>
    <row r="503" spans="1:3" x14ac:dyDescent="0.35">
      <c r="A503" t="s">
        <v>11</v>
      </c>
      <c r="B503">
        <v>2003</v>
      </c>
      <c r="C503">
        <v>43.413201307938152</v>
      </c>
    </row>
    <row r="504" spans="1:3" x14ac:dyDescent="0.35">
      <c r="A504" t="s">
        <v>11</v>
      </c>
      <c r="B504">
        <v>2004</v>
      </c>
      <c r="C504">
        <v>44.872377145971477</v>
      </c>
    </row>
    <row r="505" spans="1:3" x14ac:dyDescent="0.35">
      <c r="A505" t="s">
        <v>11</v>
      </c>
      <c r="B505">
        <v>2005</v>
      </c>
      <c r="C505">
        <v>49.557129384788922</v>
      </c>
    </row>
    <row r="506" spans="1:3" x14ac:dyDescent="0.35">
      <c r="A506" t="s">
        <v>11</v>
      </c>
      <c r="B506">
        <v>2006</v>
      </c>
      <c r="C506">
        <v>44.717502041451176</v>
      </c>
    </row>
    <row r="507" spans="1:3" x14ac:dyDescent="0.35">
      <c r="A507" t="s">
        <v>11</v>
      </c>
      <c r="B507">
        <v>2007</v>
      </c>
      <c r="C507">
        <v>46.308706221634765</v>
      </c>
    </row>
    <row r="508" spans="1:3" x14ac:dyDescent="0.35">
      <c r="A508" t="s">
        <v>11</v>
      </c>
      <c r="B508">
        <v>2008</v>
      </c>
      <c r="C508">
        <v>43.85631994872184</v>
      </c>
    </row>
    <row r="509" spans="1:3" x14ac:dyDescent="0.35">
      <c r="A509" t="s">
        <v>11</v>
      </c>
      <c r="B509">
        <v>2012</v>
      </c>
      <c r="C509">
        <v>58.966662276171391</v>
      </c>
    </row>
    <row r="510" spans="1:3" x14ac:dyDescent="0.35">
      <c r="A510" t="s">
        <v>11</v>
      </c>
      <c r="B510">
        <v>2013</v>
      </c>
      <c r="C510">
        <v>60.859500093242197</v>
      </c>
    </row>
    <row r="511" spans="1:3" x14ac:dyDescent="0.35">
      <c r="A511" t="s">
        <v>11</v>
      </c>
      <c r="B511">
        <v>2014</v>
      </c>
      <c r="C511">
        <v>62.177428740145473</v>
      </c>
    </row>
    <row r="512" spans="1:3" x14ac:dyDescent="0.35">
      <c r="A512" t="s">
        <v>11</v>
      </c>
      <c r="B512">
        <v>2015</v>
      </c>
      <c r="C512">
        <v>66.16458443559236</v>
      </c>
    </row>
    <row r="513" spans="1:3" x14ac:dyDescent="0.35">
      <c r="A513" t="s">
        <v>11</v>
      </c>
      <c r="B513">
        <v>2016</v>
      </c>
      <c r="C513">
        <v>66.462843077987401</v>
      </c>
    </row>
    <row r="514" spans="1:3" x14ac:dyDescent="0.35">
      <c r="A514" t="s">
        <v>11</v>
      </c>
      <c r="B514">
        <v>2017</v>
      </c>
      <c r="C514">
        <v>63.908678432008834</v>
      </c>
    </row>
    <row r="515" spans="1:3" x14ac:dyDescent="0.35">
      <c r="A515" t="s">
        <v>11</v>
      </c>
      <c r="B515">
        <v>2018</v>
      </c>
      <c r="C515">
        <v>65.436595262795521</v>
      </c>
    </row>
    <row r="516" spans="1:3" x14ac:dyDescent="0.35">
      <c r="A516" t="s">
        <v>11</v>
      </c>
      <c r="B516">
        <v>2019</v>
      </c>
      <c r="C516">
        <v>84.68941391820168</v>
      </c>
    </row>
    <row r="517" spans="1:3" x14ac:dyDescent="0.35">
      <c r="A517" t="s">
        <v>11</v>
      </c>
      <c r="B517">
        <v>2020</v>
      </c>
      <c r="C517">
        <v>67.474092716297037</v>
      </c>
    </row>
    <row r="518" spans="1:3" x14ac:dyDescent="0.35">
      <c r="A518" t="s">
        <v>11</v>
      </c>
      <c r="B518">
        <v>2021</v>
      </c>
      <c r="C518">
        <v>68.37639713578308</v>
      </c>
    </row>
    <row r="519" spans="1:3" x14ac:dyDescent="0.35">
      <c r="A519" t="s">
        <v>11</v>
      </c>
      <c r="B519">
        <v>2022</v>
      </c>
      <c r="C519">
        <v>101.434221215165</v>
      </c>
    </row>
    <row r="520" spans="1:3" x14ac:dyDescent="0.35">
      <c r="A520" t="s">
        <v>11</v>
      </c>
      <c r="B520">
        <v>2023</v>
      </c>
      <c r="C520">
        <v>145.16802165114814</v>
      </c>
    </row>
    <row r="521" spans="1:3" x14ac:dyDescent="0.35">
      <c r="A521" t="s">
        <v>11</v>
      </c>
      <c r="B521">
        <v>2024</v>
      </c>
      <c r="C521">
        <v>171.82978457825809</v>
      </c>
    </row>
    <row r="522" spans="1:3" x14ac:dyDescent="0.35">
      <c r="A522" t="s">
        <v>11</v>
      </c>
      <c r="B522">
        <v>2025</v>
      </c>
      <c r="C522">
        <v>226.61547353087303</v>
      </c>
    </row>
    <row r="523" spans="1:3" x14ac:dyDescent="0.35">
      <c r="A523" t="s">
        <v>12</v>
      </c>
      <c r="B523">
        <v>1970</v>
      </c>
      <c r="C523">
        <v>20.339866065129538</v>
      </c>
    </row>
    <row r="524" spans="1:3" x14ac:dyDescent="0.35">
      <c r="A524" t="s">
        <v>12</v>
      </c>
      <c r="B524">
        <v>1971</v>
      </c>
      <c r="C524">
        <v>21.501256555150423</v>
      </c>
    </row>
    <row r="525" spans="1:3" x14ac:dyDescent="0.35">
      <c r="A525" t="s">
        <v>12</v>
      </c>
      <c r="B525">
        <v>1972</v>
      </c>
      <c r="C525">
        <v>24.894059390226484</v>
      </c>
    </row>
    <row r="526" spans="1:3" x14ac:dyDescent="0.35">
      <c r="A526" t="s">
        <v>12</v>
      </c>
      <c r="B526">
        <v>1973</v>
      </c>
      <c r="C526">
        <v>31.636823710456774</v>
      </c>
    </row>
    <row r="527" spans="1:3" x14ac:dyDescent="0.35">
      <c r="A527" t="s">
        <v>12</v>
      </c>
      <c r="B527">
        <v>1974</v>
      </c>
      <c r="C527">
        <v>34.625371305124531</v>
      </c>
    </row>
    <row r="528" spans="1:3" x14ac:dyDescent="0.35">
      <c r="A528" t="s">
        <v>12</v>
      </c>
      <c r="B528">
        <v>1975</v>
      </c>
      <c r="C528">
        <v>46.770377905213408</v>
      </c>
    </row>
    <row r="529" spans="1:3" x14ac:dyDescent="0.35">
      <c r="A529" t="s">
        <v>12</v>
      </c>
      <c r="B529">
        <v>1976</v>
      </c>
      <c r="C529">
        <v>48.47039129525006</v>
      </c>
    </row>
    <row r="530" spans="1:3" x14ac:dyDescent="0.35">
      <c r="A530" t="s">
        <v>12</v>
      </c>
      <c r="B530">
        <v>1977</v>
      </c>
      <c r="C530">
        <v>55.16729078476066</v>
      </c>
    </row>
    <row r="531" spans="1:3" x14ac:dyDescent="0.35">
      <c r="A531" t="s">
        <v>12</v>
      </c>
      <c r="B531">
        <v>1978</v>
      </c>
      <c r="C531">
        <v>71.436168327011018</v>
      </c>
    </row>
    <row r="532" spans="1:3" x14ac:dyDescent="0.35">
      <c r="A532" t="s">
        <v>12</v>
      </c>
      <c r="B532">
        <v>1979</v>
      </c>
      <c r="C532">
        <v>88.354754092195449</v>
      </c>
    </row>
    <row r="533" spans="1:3" x14ac:dyDescent="0.35">
      <c r="A533" t="s">
        <v>12</v>
      </c>
      <c r="B533">
        <v>1980</v>
      </c>
      <c r="C533">
        <v>99.867474441499425</v>
      </c>
    </row>
    <row r="534" spans="1:3" x14ac:dyDescent="0.35">
      <c r="A534" t="s">
        <v>12</v>
      </c>
      <c r="B534">
        <v>1981</v>
      </c>
      <c r="C534">
        <v>120.24759780812641</v>
      </c>
    </row>
    <row r="535" spans="1:3" x14ac:dyDescent="0.35">
      <c r="A535" t="s">
        <v>12</v>
      </c>
      <c r="B535">
        <v>1982</v>
      </c>
      <c r="C535">
        <v>131.61658642873226</v>
      </c>
    </row>
    <row r="536" spans="1:3" x14ac:dyDescent="0.35">
      <c r="A536" t="s">
        <v>12</v>
      </c>
      <c r="B536">
        <v>1983</v>
      </c>
      <c r="C536">
        <v>129.8987576955173</v>
      </c>
    </row>
    <row r="537" spans="1:3" x14ac:dyDescent="0.35">
      <c r="A537" t="s">
        <v>12</v>
      </c>
      <c r="B537">
        <v>1984</v>
      </c>
      <c r="C537">
        <v>127.2436418228796</v>
      </c>
    </row>
    <row r="538" spans="1:3" x14ac:dyDescent="0.35">
      <c r="A538" t="s">
        <v>12</v>
      </c>
      <c r="B538">
        <v>1985</v>
      </c>
      <c r="C538">
        <v>116.1902938813123</v>
      </c>
    </row>
    <row r="539" spans="1:3" x14ac:dyDescent="0.35">
      <c r="A539" t="s">
        <v>12</v>
      </c>
      <c r="B539">
        <v>1986</v>
      </c>
      <c r="C539">
        <v>145.41186118634965</v>
      </c>
    </row>
    <row r="540" spans="1:3" x14ac:dyDescent="0.35">
      <c r="A540" t="s">
        <v>12</v>
      </c>
      <c r="B540">
        <v>1987</v>
      </c>
      <c r="C540">
        <v>163.12800087842763</v>
      </c>
    </row>
    <row r="541" spans="1:3" x14ac:dyDescent="0.35">
      <c r="A541" t="s">
        <v>12</v>
      </c>
      <c r="B541">
        <v>1988</v>
      </c>
      <c r="C541">
        <v>154.37068571889017</v>
      </c>
    </row>
    <row r="542" spans="1:3" x14ac:dyDescent="0.35">
      <c r="A542" t="s">
        <v>12</v>
      </c>
      <c r="B542">
        <v>1989</v>
      </c>
      <c r="C542">
        <v>146.86935750827567</v>
      </c>
    </row>
    <row r="543" spans="1:3" x14ac:dyDescent="0.35">
      <c r="A543" t="s">
        <v>12</v>
      </c>
      <c r="B543">
        <v>1990</v>
      </c>
      <c r="C543">
        <v>180.57774594604521</v>
      </c>
    </row>
    <row r="544" spans="1:3" x14ac:dyDescent="0.35">
      <c r="A544" t="s">
        <v>12</v>
      </c>
      <c r="B544">
        <v>1991</v>
      </c>
      <c r="C544">
        <v>178.19834318184232</v>
      </c>
    </row>
    <row r="545" spans="1:3" x14ac:dyDescent="0.35">
      <c r="A545" t="s">
        <v>12</v>
      </c>
      <c r="B545">
        <v>1992</v>
      </c>
      <c r="C545">
        <v>183.79663911262904</v>
      </c>
    </row>
    <row r="546" spans="1:3" x14ac:dyDescent="0.35">
      <c r="A546" t="s">
        <v>12</v>
      </c>
      <c r="B546">
        <v>1993</v>
      </c>
      <c r="C546">
        <v>168.17522063263914</v>
      </c>
    </row>
    <row r="547" spans="1:3" x14ac:dyDescent="0.35">
      <c r="A547" t="s">
        <v>12</v>
      </c>
      <c r="B547">
        <v>1994</v>
      </c>
      <c r="C547">
        <v>94.517340441818774</v>
      </c>
    </row>
    <row r="548" spans="1:3" x14ac:dyDescent="0.35">
      <c r="A548" t="s">
        <v>12</v>
      </c>
      <c r="B548">
        <v>1995</v>
      </c>
      <c r="C548">
        <v>113.57553270773397</v>
      </c>
    </row>
    <row r="549" spans="1:3" x14ac:dyDescent="0.35">
      <c r="A549" t="s">
        <v>12</v>
      </c>
      <c r="B549">
        <v>1996</v>
      </c>
      <c r="C549">
        <v>116.93630364068559</v>
      </c>
    </row>
    <row r="550" spans="1:3" x14ac:dyDescent="0.35">
      <c r="A550" t="s">
        <v>12</v>
      </c>
      <c r="B550">
        <v>1997</v>
      </c>
      <c r="C550">
        <v>118.71111880192369</v>
      </c>
    </row>
    <row r="551" spans="1:3" x14ac:dyDescent="0.35">
      <c r="A551" t="s">
        <v>12</v>
      </c>
      <c r="B551">
        <v>1998</v>
      </c>
      <c r="C551">
        <v>137.24591153178562</v>
      </c>
    </row>
    <row r="552" spans="1:3" x14ac:dyDescent="0.35">
      <c r="A552" t="s">
        <v>12</v>
      </c>
      <c r="B552">
        <v>1999</v>
      </c>
      <c r="C552">
        <v>144.70463651881846</v>
      </c>
    </row>
    <row r="553" spans="1:3" x14ac:dyDescent="0.35">
      <c r="A553" t="s">
        <v>12</v>
      </c>
      <c r="B553">
        <v>2000</v>
      </c>
      <c r="C553">
        <v>123.03434385428721</v>
      </c>
    </row>
    <row r="554" spans="1:3" x14ac:dyDescent="0.35">
      <c r="A554" t="s">
        <v>12</v>
      </c>
      <c r="B554">
        <v>2001</v>
      </c>
      <c r="C554">
        <v>124.30170836749478</v>
      </c>
    </row>
    <row r="555" spans="1:3" x14ac:dyDescent="0.35">
      <c r="A555" t="s">
        <v>12</v>
      </c>
      <c r="B555">
        <v>2002</v>
      </c>
      <c r="C555">
        <v>145.6266105011851</v>
      </c>
    </row>
    <row r="556" spans="1:3" x14ac:dyDescent="0.35">
      <c r="A556" t="s">
        <v>12</v>
      </c>
      <c r="B556">
        <v>2003</v>
      </c>
      <c r="C556">
        <v>188.49965588437712</v>
      </c>
    </row>
    <row r="557" spans="1:3" x14ac:dyDescent="0.35">
      <c r="A557" t="s">
        <v>12</v>
      </c>
      <c r="B557">
        <v>2004</v>
      </c>
      <c r="C557">
        <v>221.10792469973595</v>
      </c>
    </row>
    <row r="558" spans="1:3" x14ac:dyDescent="0.35">
      <c r="A558" t="s">
        <v>12</v>
      </c>
      <c r="B558">
        <v>2005</v>
      </c>
      <c r="C558">
        <v>223.08462314301534</v>
      </c>
    </row>
    <row r="559" spans="1:3" x14ac:dyDescent="0.35">
      <c r="A559" t="s">
        <v>12</v>
      </c>
      <c r="B559">
        <v>2006</v>
      </c>
      <c r="C559">
        <v>256.92784333224961</v>
      </c>
    </row>
    <row r="560" spans="1:3" x14ac:dyDescent="0.35">
      <c r="A560" t="s">
        <v>12</v>
      </c>
      <c r="B560">
        <v>2007</v>
      </c>
      <c r="C560">
        <v>296.69891730496784</v>
      </c>
    </row>
    <row r="561" spans="1:3" x14ac:dyDescent="0.35">
      <c r="A561" t="s">
        <v>12</v>
      </c>
      <c r="B561">
        <v>2008</v>
      </c>
      <c r="C561">
        <v>346.5861256573732</v>
      </c>
    </row>
    <row r="562" spans="1:3" x14ac:dyDescent="0.35">
      <c r="A562" t="s">
        <v>12</v>
      </c>
      <c r="B562">
        <v>2009</v>
      </c>
      <c r="C562">
        <v>343.26515398592932</v>
      </c>
    </row>
    <row r="563" spans="1:3" x14ac:dyDescent="0.35">
      <c r="A563" t="s">
        <v>12</v>
      </c>
      <c r="B563">
        <v>2010</v>
      </c>
      <c r="C563">
        <v>354.0543978420157</v>
      </c>
    </row>
    <row r="564" spans="1:3" x14ac:dyDescent="0.35">
      <c r="A564" t="s">
        <v>12</v>
      </c>
      <c r="B564">
        <v>2011</v>
      </c>
      <c r="C564">
        <v>347.47788567093198</v>
      </c>
    </row>
    <row r="565" spans="1:3" x14ac:dyDescent="0.35">
      <c r="A565" t="s">
        <v>12</v>
      </c>
      <c r="B565">
        <v>2012</v>
      </c>
      <c r="C565">
        <v>354.44746311164738</v>
      </c>
    </row>
    <row r="566" spans="1:3" x14ac:dyDescent="0.35">
      <c r="A566" t="s">
        <v>12</v>
      </c>
      <c r="B566">
        <v>2013</v>
      </c>
      <c r="C566">
        <v>392.84063089891674</v>
      </c>
    </row>
    <row r="567" spans="1:3" x14ac:dyDescent="0.35">
      <c r="A567" t="s">
        <v>12</v>
      </c>
      <c r="B567">
        <v>2014</v>
      </c>
      <c r="C567">
        <v>401.52911810139312</v>
      </c>
    </row>
    <row r="568" spans="1:3" x14ac:dyDescent="0.35">
      <c r="A568" t="s">
        <v>12</v>
      </c>
      <c r="B568">
        <v>2015</v>
      </c>
      <c r="C568">
        <v>353.81549455348926</v>
      </c>
    </row>
    <row r="569" spans="1:3" x14ac:dyDescent="0.35">
      <c r="A569" t="s">
        <v>12</v>
      </c>
      <c r="B569">
        <v>2016</v>
      </c>
      <c r="C569">
        <v>387.43783087299033</v>
      </c>
    </row>
    <row r="570" spans="1:3" x14ac:dyDescent="0.35">
      <c r="A570" t="s">
        <v>12</v>
      </c>
      <c r="B570">
        <v>2017</v>
      </c>
      <c r="C570">
        <v>408.15757513556048</v>
      </c>
    </row>
    <row r="571" spans="1:3" x14ac:dyDescent="0.35">
      <c r="A571" t="s">
        <v>12</v>
      </c>
      <c r="B571">
        <v>2018</v>
      </c>
      <c r="C571">
        <v>429.89218057234984</v>
      </c>
    </row>
    <row r="572" spans="1:3" x14ac:dyDescent="0.35">
      <c r="A572" t="s">
        <v>12</v>
      </c>
      <c r="B572">
        <v>2019</v>
      </c>
      <c r="C572">
        <v>422.29477198024432</v>
      </c>
    </row>
    <row r="573" spans="1:3" x14ac:dyDescent="0.35">
      <c r="A573" t="s">
        <v>12</v>
      </c>
      <c r="B573">
        <v>2020</v>
      </c>
      <c r="C573">
        <v>393.29939006377396</v>
      </c>
    </row>
    <row r="574" spans="1:3" x14ac:dyDescent="0.35">
      <c r="A574" t="s">
        <v>12</v>
      </c>
      <c r="B574">
        <v>2021</v>
      </c>
      <c r="C574">
        <v>443.33683200567674</v>
      </c>
    </row>
    <row r="575" spans="1:3" x14ac:dyDescent="0.35">
      <c r="A575" t="s">
        <v>12</v>
      </c>
      <c r="B575">
        <v>2022</v>
      </c>
      <c r="C575">
        <v>416.63802164020228</v>
      </c>
    </row>
    <row r="576" spans="1:3" x14ac:dyDescent="0.35">
      <c r="A576" t="s">
        <v>12</v>
      </c>
      <c r="B576">
        <v>2023</v>
      </c>
      <c r="C576">
        <v>456.56909188802678</v>
      </c>
    </row>
    <row r="577" spans="1:3" x14ac:dyDescent="0.35">
      <c r="A577" t="s">
        <v>12</v>
      </c>
      <c r="B577">
        <v>2024</v>
      </c>
      <c r="C577">
        <v>534.90643248810227</v>
      </c>
    </row>
    <row r="578" spans="1:3" x14ac:dyDescent="0.35">
      <c r="A578" t="s">
        <v>12</v>
      </c>
      <c r="B578">
        <v>2025</v>
      </c>
      <c r="C578">
        <v>627.46784068239663</v>
      </c>
    </row>
    <row r="579" spans="1:3" x14ac:dyDescent="0.35">
      <c r="A579" t="s">
        <v>13</v>
      </c>
      <c r="B579">
        <v>1984</v>
      </c>
      <c r="C579">
        <v>3.687650142145364</v>
      </c>
    </row>
    <row r="580" spans="1:3" x14ac:dyDescent="0.35">
      <c r="A580" t="s">
        <v>13</v>
      </c>
      <c r="B580">
        <v>1985</v>
      </c>
      <c r="C580">
        <v>3.3940219378228282</v>
      </c>
    </row>
    <row r="581" spans="1:3" x14ac:dyDescent="0.35">
      <c r="A581" t="s">
        <v>13</v>
      </c>
      <c r="B581">
        <v>1986</v>
      </c>
      <c r="C581">
        <v>4.4544319102026444</v>
      </c>
    </row>
    <row r="582" spans="1:3" x14ac:dyDescent="0.35">
      <c r="A582" t="s">
        <v>13</v>
      </c>
      <c r="B582">
        <v>1987</v>
      </c>
      <c r="C582">
        <v>4.9678607011859386</v>
      </c>
    </row>
    <row r="583" spans="1:3" x14ac:dyDescent="0.35">
      <c r="A583" t="s">
        <v>13</v>
      </c>
      <c r="B583">
        <v>1988</v>
      </c>
      <c r="C583">
        <v>5.0785721719221568</v>
      </c>
    </row>
    <row r="584" spans="1:3" x14ac:dyDescent="0.35">
      <c r="A584" t="s">
        <v>13</v>
      </c>
      <c r="B584">
        <v>1992</v>
      </c>
      <c r="C584">
        <v>3.5579026604878736</v>
      </c>
    </row>
    <row r="585" spans="1:3" x14ac:dyDescent="0.35">
      <c r="A585" t="s">
        <v>13</v>
      </c>
      <c r="B585">
        <v>1993</v>
      </c>
      <c r="C585">
        <v>2.7354134080018304</v>
      </c>
    </row>
    <row r="586" spans="1:3" x14ac:dyDescent="0.35">
      <c r="A586" t="s">
        <v>13</v>
      </c>
      <c r="B586">
        <v>1994</v>
      </c>
      <c r="C586">
        <v>3.4313988872986951</v>
      </c>
    </row>
    <row r="587" spans="1:3" x14ac:dyDescent="0.35">
      <c r="A587" t="s">
        <v>13</v>
      </c>
      <c r="B587">
        <v>1995</v>
      </c>
      <c r="C587">
        <v>6.2066300341039353</v>
      </c>
    </row>
    <row r="588" spans="1:3" x14ac:dyDescent="0.35">
      <c r="A588" t="s">
        <v>13</v>
      </c>
      <c r="B588">
        <v>1996</v>
      </c>
      <c r="C588">
        <v>4.261939787992711</v>
      </c>
    </row>
    <row r="589" spans="1:3" x14ac:dyDescent="0.35">
      <c r="A589" t="s">
        <v>13</v>
      </c>
      <c r="B589">
        <v>1997</v>
      </c>
      <c r="C589">
        <v>4.0997373806971051</v>
      </c>
    </row>
    <row r="590" spans="1:3" x14ac:dyDescent="0.35">
      <c r="A590" t="s">
        <v>13</v>
      </c>
      <c r="B590">
        <v>1998</v>
      </c>
      <c r="C590">
        <v>4.5131548786389226</v>
      </c>
    </row>
    <row r="591" spans="1:3" x14ac:dyDescent="0.35">
      <c r="A591" t="s">
        <v>13</v>
      </c>
      <c r="B591">
        <v>1999</v>
      </c>
      <c r="C591">
        <v>5.0047342080346269</v>
      </c>
    </row>
    <row r="592" spans="1:3" x14ac:dyDescent="0.35">
      <c r="A592" t="s">
        <v>13</v>
      </c>
      <c r="B592">
        <v>2000</v>
      </c>
      <c r="C592">
        <v>6.8010727982153458</v>
      </c>
    </row>
    <row r="593" spans="1:3" x14ac:dyDescent="0.35">
      <c r="A593" t="s">
        <v>13</v>
      </c>
      <c r="B593">
        <v>2001</v>
      </c>
      <c r="C593">
        <v>4.6385561722985038</v>
      </c>
    </row>
    <row r="594" spans="1:3" x14ac:dyDescent="0.35">
      <c r="A594" t="s">
        <v>13</v>
      </c>
      <c r="B594">
        <v>2002</v>
      </c>
      <c r="C594">
        <v>4.520858937593883</v>
      </c>
    </row>
    <row r="595" spans="1:3" x14ac:dyDescent="0.35">
      <c r="A595" t="s">
        <v>13</v>
      </c>
      <c r="B595">
        <v>2003</v>
      </c>
      <c r="C595">
        <v>5.7828316428359408</v>
      </c>
    </row>
    <row r="596" spans="1:3" x14ac:dyDescent="0.35">
      <c r="A596" t="s">
        <v>13</v>
      </c>
      <c r="B596">
        <v>2004</v>
      </c>
      <c r="C596">
        <v>6.4521504916245913</v>
      </c>
    </row>
    <row r="597" spans="1:3" x14ac:dyDescent="0.35">
      <c r="A597" t="s">
        <v>13</v>
      </c>
      <c r="B597">
        <v>2005</v>
      </c>
      <c r="C597">
        <v>7.0824165475925991</v>
      </c>
    </row>
    <row r="598" spans="1:3" x14ac:dyDescent="0.35">
      <c r="A598" t="s">
        <v>13</v>
      </c>
      <c r="B598">
        <v>2006</v>
      </c>
      <c r="C598">
        <v>6.9851548394950207</v>
      </c>
    </row>
    <row r="599" spans="1:3" x14ac:dyDescent="0.35">
      <c r="A599" t="s">
        <v>13</v>
      </c>
      <c r="B599">
        <v>2007</v>
      </c>
      <c r="C599">
        <v>7.9436595943272339</v>
      </c>
    </row>
    <row r="600" spans="1:3" x14ac:dyDescent="0.35">
      <c r="A600" t="s">
        <v>13</v>
      </c>
      <c r="B600">
        <v>2008</v>
      </c>
      <c r="C600">
        <v>10.758715968038684</v>
      </c>
    </row>
    <row r="601" spans="1:3" x14ac:dyDescent="0.35">
      <c r="A601" t="s">
        <v>13</v>
      </c>
      <c r="B601">
        <v>2009</v>
      </c>
      <c r="C601">
        <v>8.402927292632258</v>
      </c>
    </row>
    <row r="602" spans="1:3" x14ac:dyDescent="0.35">
      <c r="A602" t="s">
        <v>13</v>
      </c>
      <c r="B602">
        <v>2010</v>
      </c>
      <c r="C602">
        <v>8.2393692918946719</v>
      </c>
    </row>
    <row r="603" spans="1:3" x14ac:dyDescent="0.35">
      <c r="A603" t="s">
        <v>13</v>
      </c>
      <c r="B603">
        <v>2011</v>
      </c>
      <c r="C603">
        <v>9.7575365623971759</v>
      </c>
    </row>
    <row r="604" spans="1:3" x14ac:dyDescent="0.35">
      <c r="A604" t="s">
        <v>13</v>
      </c>
      <c r="B604">
        <v>2012</v>
      </c>
      <c r="C604">
        <v>9.7363858386621658</v>
      </c>
    </row>
    <row r="605" spans="1:3" x14ac:dyDescent="0.35">
      <c r="A605" t="s">
        <v>13</v>
      </c>
      <c r="B605">
        <v>2013</v>
      </c>
      <c r="C605">
        <v>9.8156716345470372</v>
      </c>
    </row>
    <row r="606" spans="1:3" x14ac:dyDescent="0.35">
      <c r="A606" t="s">
        <v>13</v>
      </c>
      <c r="B606">
        <v>2014</v>
      </c>
      <c r="C606">
        <v>10.048862069901171</v>
      </c>
    </row>
    <row r="607" spans="1:3" x14ac:dyDescent="0.35">
      <c r="A607" t="s">
        <v>13</v>
      </c>
      <c r="B607">
        <v>2015</v>
      </c>
      <c r="C607">
        <v>8.9222194550873191</v>
      </c>
    </row>
    <row r="608" spans="1:3" x14ac:dyDescent="0.35">
      <c r="A608" t="s">
        <v>13</v>
      </c>
      <c r="B608">
        <v>2016</v>
      </c>
      <c r="C608">
        <v>10.171216502213985</v>
      </c>
    </row>
    <row r="609" spans="1:3" x14ac:dyDescent="0.35">
      <c r="A609" t="s">
        <v>13</v>
      </c>
      <c r="B609">
        <v>2017</v>
      </c>
      <c r="C609">
        <v>9.3543841662816174</v>
      </c>
    </row>
    <row r="610" spans="1:3" x14ac:dyDescent="0.35">
      <c r="A610" t="s">
        <v>13</v>
      </c>
      <c r="B610">
        <v>2018</v>
      </c>
      <c r="C610">
        <v>10.714071127336044</v>
      </c>
    </row>
    <row r="611" spans="1:3" x14ac:dyDescent="0.35">
      <c r="A611" t="s">
        <v>13</v>
      </c>
      <c r="B611">
        <v>2019</v>
      </c>
      <c r="C611">
        <v>9.7280610897865518</v>
      </c>
    </row>
    <row r="612" spans="1:3" x14ac:dyDescent="0.35">
      <c r="A612" t="s">
        <v>13</v>
      </c>
      <c r="B612">
        <v>2020</v>
      </c>
      <c r="C612">
        <v>11.279268103581954</v>
      </c>
    </row>
    <row r="613" spans="1:3" x14ac:dyDescent="0.35">
      <c r="A613" t="s">
        <v>13</v>
      </c>
      <c r="B613">
        <v>2021</v>
      </c>
      <c r="C613">
        <v>11.213723429355868</v>
      </c>
    </row>
    <row r="614" spans="1:3" x14ac:dyDescent="0.35">
      <c r="A614" t="s">
        <v>13</v>
      </c>
      <c r="B614">
        <v>2022</v>
      </c>
      <c r="C614">
        <v>10.250668273218631</v>
      </c>
    </row>
    <row r="615" spans="1:3" x14ac:dyDescent="0.35">
      <c r="A615" t="s">
        <v>13</v>
      </c>
      <c r="B615">
        <v>2023</v>
      </c>
      <c r="C615">
        <v>14.353938320532245</v>
      </c>
    </row>
    <row r="616" spans="1:3" x14ac:dyDescent="0.35">
      <c r="A616" t="s">
        <v>13</v>
      </c>
      <c r="B616">
        <v>2024</v>
      </c>
      <c r="C616">
        <v>16.829866562009421</v>
      </c>
    </row>
    <row r="617" spans="1:3" x14ac:dyDescent="0.35">
      <c r="A617" t="s">
        <v>13</v>
      </c>
      <c r="B617">
        <v>2025</v>
      </c>
      <c r="C617">
        <v>20.076627568532565</v>
      </c>
    </row>
    <row r="618" spans="1:3" x14ac:dyDescent="0.35">
      <c r="A618" t="s">
        <v>14</v>
      </c>
      <c r="B618">
        <v>1991</v>
      </c>
      <c r="C618">
        <v>21.598187921604211</v>
      </c>
    </row>
    <row r="619" spans="1:3" x14ac:dyDescent="0.35">
      <c r="A619" t="s">
        <v>14</v>
      </c>
      <c r="B619">
        <v>1992</v>
      </c>
      <c r="C619">
        <v>23.185438169646229</v>
      </c>
    </row>
    <row r="620" spans="1:3" x14ac:dyDescent="0.35">
      <c r="A620" t="s">
        <v>14</v>
      </c>
      <c r="B620">
        <v>1993</v>
      </c>
      <c r="C620">
        <v>19.144450369575122</v>
      </c>
    </row>
    <row r="621" spans="1:3" x14ac:dyDescent="0.35">
      <c r="A621" t="s">
        <v>14</v>
      </c>
      <c r="B621">
        <v>1994</v>
      </c>
      <c r="C621">
        <v>10.68974522923965</v>
      </c>
    </row>
    <row r="622" spans="1:3" x14ac:dyDescent="0.35">
      <c r="A622" t="s">
        <v>14</v>
      </c>
      <c r="B622">
        <v>1995</v>
      </c>
      <c r="C622">
        <v>13.014176156170112</v>
      </c>
    </row>
    <row r="623" spans="1:3" x14ac:dyDescent="0.35">
      <c r="A623" t="s">
        <v>14</v>
      </c>
      <c r="B623">
        <v>1996</v>
      </c>
      <c r="C623">
        <v>12.196218566245465</v>
      </c>
    </row>
    <row r="624" spans="1:3" x14ac:dyDescent="0.35">
      <c r="A624" t="s">
        <v>14</v>
      </c>
      <c r="B624">
        <v>2002</v>
      </c>
      <c r="C624">
        <v>10.681962960624858</v>
      </c>
    </row>
    <row r="625" spans="1:3" x14ac:dyDescent="0.35">
      <c r="A625" t="s">
        <v>14</v>
      </c>
      <c r="B625">
        <v>2003</v>
      </c>
      <c r="C625">
        <v>15.018926359256708</v>
      </c>
    </row>
    <row r="626" spans="1:3" x14ac:dyDescent="0.35">
      <c r="A626" t="s">
        <v>14</v>
      </c>
      <c r="B626">
        <v>2004</v>
      </c>
      <c r="C626">
        <v>15.103589918320603</v>
      </c>
    </row>
    <row r="627" spans="1:3" x14ac:dyDescent="0.35">
      <c r="A627" t="s">
        <v>14</v>
      </c>
      <c r="B627">
        <v>2005</v>
      </c>
      <c r="C627">
        <v>15.396194650670752</v>
      </c>
    </row>
    <row r="628" spans="1:3" x14ac:dyDescent="0.35">
      <c r="A628" t="s">
        <v>14</v>
      </c>
      <c r="B628">
        <v>2007</v>
      </c>
      <c r="C628">
        <v>19.11251974369193</v>
      </c>
    </row>
    <row r="629" spans="1:3" x14ac:dyDescent="0.35">
      <c r="A629" t="s">
        <v>14</v>
      </c>
      <c r="B629">
        <v>2008</v>
      </c>
      <c r="C629">
        <v>31.511483793168903</v>
      </c>
    </row>
    <row r="630" spans="1:3" x14ac:dyDescent="0.35">
      <c r="A630" t="s">
        <v>14</v>
      </c>
      <c r="B630">
        <v>2009</v>
      </c>
      <c r="C630">
        <v>35.992384357011858</v>
      </c>
    </row>
    <row r="631" spans="1:3" x14ac:dyDescent="0.35">
      <c r="A631" t="s">
        <v>14</v>
      </c>
      <c r="B631">
        <v>2010</v>
      </c>
      <c r="C631">
        <v>51.585274502954917</v>
      </c>
    </row>
    <row r="632" spans="1:3" x14ac:dyDescent="0.35">
      <c r="A632" t="s">
        <v>14</v>
      </c>
      <c r="B632">
        <v>2011</v>
      </c>
      <c r="C632">
        <v>49.874328728918805</v>
      </c>
    </row>
    <row r="633" spans="1:3" x14ac:dyDescent="0.35">
      <c r="A633" t="s">
        <v>14</v>
      </c>
      <c r="B633">
        <v>2012</v>
      </c>
      <c r="C633">
        <v>42.746025185739441</v>
      </c>
    </row>
    <row r="634" spans="1:3" x14ac:dyDescent="0.35">
      <c r="A634" t="s">
        <v>14</v>
      </c>
      <c r="B634">
        <v>2013</v>
      </c>
      <c r="C634">
        <v>47.923241448908705</v>
      </c>
    </row>
    <row r="635" spans="1:3" x14ac:dyDescent="0.35">
      <c r="A635" t="s">
        <v>14</v>
      </c>
      <c r="B635">
        <v>2014</v>
      </c>
      <c r="C635">
        <v>38.407009921456329</v>
      </c>
    </row>
    <row r="636" spans="1:3" x14ac:dyDescent="0.35">
      <c r="A636" t="s">
        <v>14</v>
      </c>
      <c r="B636">
        <v>2015</v>
      </c>
      <c r="C636">
        <v>26.703885622839138</v>
      </c>
    </row>
    <row r="637" spans="1:3" x14ac:dyDescent="0.35">
      <c r="A637" t="s">
        <v>14</v>
      </c>
      <c r="B637">
        <v>2016</v>
      </c>
      <c r="C637">
        <v>26.832998820193534</v>
      </c>
    </row>
    <row r="638" spans="1:3" x14ac:dyDescent="0.35">
      <c r="A638" t="s">
        <v>14</v>
      </c>
      <c r="B638">
        <v>2017</v>
      </c>
      <c r="C638">
        <v>27.516264177935216</v>
      </c>
    </row>
    <row r="639" spans="1:3" x14ac:dyDescent="0.35">
      <c r="A639" t="s">
        <v>14</v>
      </c>
      <c r="B639">
        <v>2018</v>
      </c>
      <c r="C639">
        <v>30.517648413658087</v>
      </c>
    </row>
    <row r="640" spans="1:3" x14ac:dyDescent="0.35">
      <c r="A640" t="s">
        <v>14</v>
      </c>
      <c r="B640">
        <v>2019</v>
      </c>
      <c r="C640">
        <v>40.777666658702501</v>
      </c>
    </row>
    <row r="641" spans="1:3" x14ac:dyDescent="0.35">
      <c r="A641" t="s">
        <v>14</v>
      </c>
      <c r="B641">
        <v>2020</v>
      </c>
      <c r="C641">
        <v>44.348098076354979</v>
      </c>
    </row>
    <row r="642" spans="1:3" x14ac:dyDescent="0.35">
      <c r="A642" t="s">
        <v>14</v>
      </c>
      <c r="B642">
        <v>2021</v>
      </c>
      <c r="C642">
        <v>55.515012096934115</v>
      </c>
    </row>
    <row r="643" spans="1:3" x14ac:dyDescent="0.35">
      <c r="A643" t="s">
        <v>14</v>
      </c>
      <c r="B643">
        <v>2022</v>
      </c>
      <c r="C643">
        <v>42.001802656465863</v>
      </c>
    </row>
    <row r="644" spans="1:3" x14ac:dyDescent="0.35">
      <c r="A644" t="s">
        <v>14</v>
      </c>
      <c r="B644">
        <v>2023</v>
      </c>
      <c r="C644">
        <v>62.527021813444712</v>
      </c>
    </row>
    <row r="645" spans="1:3" x14ac:dyDescent="0.35">
      <c r="A645" t="s">
        <v>14</v>
      </c>
      <c r="B645">
        <v>2024</v>
      </c>
      <c r="C645">
        <v>71.181660756988535</v>
      </c>
    </row>
    <row r="646" spans="1:3" x14ac:dyDescent="0.35">
      <c r="A646" t="s">
        <v>14</v>
      </c>
      <c r="B646">
        <v>2025</v>
      </c>
      <c r="C646">
        <v>74.18552658732888</v>
      </c>
    </row>
    <row r="647" spans="1:3" x14ac:dyDescent="0.35">
      <c r="A647" t="s">
        <v>15</v>
      </c>
      <c r="B647">
        <v>1983</v>
      </c>
      <c r="C647">
        <v>39.363259907732527</v>
      </c>
    </row>
    <row r="648" spans="1:3" x14ac:dyDescent="0.35">
      <c r="A648" t="s">
        <v>15</v>
      </c>
      <c r="B648">
        <v>1984</v>
      </c>
      <c r="C648">
        <v>40.049707408280447</v>
      </c>
    </row>
    <row r="649" spans="1:3" x14ac:dyDescent="0.35">
      <c r="A649" t="s">
        <v>15</v>
      </c>
      <c r="B649">
        <v>1985</v>
      </c>
      <c r="C649">
        <v>37.839750880887145</v>
      </c>
    </row>
    <row r="650" spans="1:3" x14ac:dyDescent="0.35">
      <c r="A650" t="s">
        <v>15</v>
      </c>
      <c r="B650">
        <v>1986</v>
      </c>
      <c r="C650">
        <v>48.800771571962365</v>
      </c>
    </row>
    <row r="651" spans="1:3" x14ac:dyDescent="0.35">
      <c r="A651" t="s">
        <v>15</v>
      </c>
      <c r="B651">
        <v>1987</v>
      </c>
      <c r="C651">
        <v>34.27198647753854</v>
      </c>
    </row>
    <row r="652" spans="1:3" x14ac:dyDescent="0.35">
      <c r="A652" t="s">
        <v>15</v>
      </c>
      <c r="B652">
        <v>1988</v>
      </c>
      <c r="C652">
        <v>77.892079181327389</v>
      </c>
    </row>
    <row r="653" spans="1:3" x14ac:dyDescent="0.35">
      <c r="A653" t="s">
        <v>15</v>
      </c>
      <c r="B653">
        <v>1989</v>
      </c>
      <c r="C653">
        <v>56.424917243454708</v>
      </c>
    </row>
    <row r="654" spans="1:3" x14ac:dyDescent="0.35">
      <c r="A654" t="s">
        <v>15</v>
      </c>
      <c r="B654">
        <v>1990</v>
      </c>
      <c r="C654">
        <v>34.341542247442753</v>
      </c>
    </row>
    <row r="655" spans="1:3" x14ac:dyDescent="0.35">
      <c r="A655" t="s">
        <v>15</v>
      </c>
      <c r="B655">
        <v>1992</v>
      </c>
      <c r="C655">
        <v>35.324074773699238</v>
      </c>
    </row>
    <row r="656" spans="1:3" x14ac:dyDescent="0.35">
      <c r="A656" t="s">
        <v>15</v>
      </c>
      <c r="B656">
        <v>1993</v>
      </c>
      <c r="C656">
        <v>39.200036727962335</v>
      </c>
    </row>
    <row r="657" spans="1:3" x14ac:dyDescent="0.35">
      <c r="A657" t="s">
        <v>15</v>
      </c>
      <c r="B657">
        <v>1994</v>
      </c>
      <c r="C657">
        <v>22.153979160850493</v>
      </c>
    </row>
    <row r="658" spans="1:3" x14ac:dyDescent="0.35">
      <c r="A658" t="s">
        <v>15</v>
      </c>
      <c r="B658">
        <v>1995</v>
      </c>
      <c r="C658">
        <v>20.034138171444141</v>
      </c>
    </row>
    <row r="659" spans="1:3" x14ac:dyDescent="0.35">
      <c r="A659" t="s">
        <v>15</v>
      </c>
      <c r="B659">
        <v>1996</v>
      </c>
      <c r="C659">
        <v>24.826410609283123</v>
      </c>
    </row>
    <row r="660" spans="1:3" x14ac:dyDescent="0.35">
      <c r="A660" t="s">
        <v>15</v>
      </c>
      <c r="B660">
        <v>1997</v>
      </c>
      <c r="C660">
        <v>16.619008376322881</v>
      </c>
    </row>
    <row r="661" spans="1:3" x14ac:dyDescent="0.35">
      <c r="A661" t="s">
        <v>15</v>
      </c>
      <c r="B661">
        <v>1998</v>
      </c>
      <c r="C661">
        <v>16.103004990236496</v>
      </c>
    </row>
    <row r="662" spans="1:3" x14ac:dyDescent="0.35">
      <c r="A662" t="s">
        <v>15</v>
      </c>
      <c r="B662">
        <v>1999</v>
      </c>
      <c r="C662">
        <v>20.951796251090226</v>
      </c>
    </row>
    <row r="663" spans="1:3" x14ac:dyDescent="0.35">
      <c r="A663" t="s">
        <v>15</v>
      </c>
      <c r="B663">
        <v>2000</v>
      </c>
      <c r="C663">
        <v>21.349034237109116</v>
      </c>
    </row>
    <row r="664" spans="1:3" x14ac:dyDescent="0.35">
      <c r="A664" t="s">
        <v>15</v>
      </c>
      <c r="B664">
        <v>2001</v>
      </c>
      <c r="C664">
        <v>26.192330830965336</v>
      </c>
    </row>
    <row r="665" spans="1:3" x14ac:dyDescent="0.35">
      <c r="A665" t="s">
        <v>15</v>
      </c>
      <c r="B665">
        <v>2002</v>
      </c>
      <c r="C665">
        <v>34.290403852003188</v>
      </c>
    </row>
    <row r="666" spans="1:3" x14ac:dyDescent="0.35">
      <c r="A666" t="s">
        <v>15</v>
      </c>
      <c r="B666">
        <v>2003</v>
      </c>
      <c r="C666">
        <v>40.949759119064005</v>
      </c>
    </row>
    <row r="667" spans="1:3" x14ac:dyDescent="0.35">
      <c r="A667" t="s">
        <v>15</v>
      </c>
      <c r="B667">
        <v>2004</v>
      </c>
      <c r="C667">
        <v>50.540901218092507</v>
      </c>
    </row>
    <row r="668" spans="1:3" x14ac:dyDescent="0.35">
      <c r="A668" t="s">
        <v>15</v>
      </c>
      <c r="B668">
        <v>2005</v>
      </c>
      <c r="C668">
        <v>55.491517968862574</v>
      </c>
    </row>
    <row r="669" spans="1:3" x14ac:dyDescent="0.35">
      <c r="A669" t="s">
        <v>15</v>
      </c>
      <c r="B669">
        <v>2006</v>
      </c>
      <c r="C669">
        <v>222.99145135688195</v>
      </c>
    </row>
    <row r="670" spans="1:3" x14ac:dyDescent="0.35">
      <c r="A670" t="s">
        <v>15</v>
      </c>
      <c r="B670">
        <v>2007</v>
      </c>
      <c r="C670">
        <v>389.13590962866209</v>
      </c>
    </row>
    <row r="671" spans="1:3" x14ac:dyDescent="0.35">
      <c r="A671" t="s">
        <v>15</v>
      </c>
      <c r="B671">
        <v>2008</v>
      </c>
      <c r="C671">
        <v>611.42684873996495</v>
      </c>
    </row>
    <row r="672" spans="1:3" x14ac:dyDescent="0.35">
      <c r="A672" t="s">
        <v>15</v>
      </c>
      <c r="B672">
        <v>2009</v>
      </c>
      <c r="C672">
        <v>738.90373708665652</v>
      </c>
    </row>
    <row r="673" spans="1:3" x14ac:dyDescent="0.35">
      <c r="A673" t="s">
        <v>15</v>
      </c>
      <c r="B673">
        <v>2010</v>
      </c>
      <c r="C673">
        <v>615.81700745239527</v>
      </c>
    </row>
    <row r="674" spans="1:3" x14ac:dyDescent="0.35">
      <c r="A674" t="s">
        <v>15</v>
      </c>
      <c r="B674">
        <v>2011</v>
      </c>
      <c r="C674">
        <v>609.70699308702046</v>
      </c>
    </row>
    <row r="675" spans="1:3" x14ac:dyDescent="0.35">
      <c r="A675" t="s">
        <v>15</v>
      </c>
      <c r="B675">
        <v>2013</v>
      </c>
      <c r="C675">
        <v>726.45939600032375</v>
      </c>
    </row>
    <row r="676" spans="1:3" x14ac:dyDescent="0.35">
      <c r="A676" t="s">
        <v>15</v>
      </c>
      <c r="B676">
        <v>2014</v>
      </c>
      <c r="C676">
        <v>392.38295459279203</v>
      </c>
    </row>
    <row r="677" spans="1:3" x14ac:dyDescent="0.35">
      <c r="A677" t="s">
        <v>15</v>
      </c>
      <c r="B677">
        <v>2015</v>
      </c>
      <c r="C677">
        <v>220.9823315580353</v>
      </c>
    </row>
    <row r="678" spans="1:3" x14ac:dyDescent="0.35">
      <c r="A678" t="s">
        <v>15</v>
      </c>
      <c r="B678">
        <v>2016</v>
      </c>
      <c r="C678">
        <v>309.56743172681178</v>
      </c>
    </row>
    <row r="679" spans="1:3" x14ac:dyDescent="0.35">
      <c r="A679" t="s">
        <v>15</v>
      </c>
      <c r="B679">
        <v>2017</v>
      </c>
      <c r="C679">
        <v>219.08103137027834</v>
      </c>
    </row>
    <row r="680" spans="1:3" x14ac:dyDescent="0.35">
      <c r="A680" t="s">
        <v>15</v>
      </c>
      <c r="B680">
        <v>2018</v>
      </c>
      <c r="C680">
        <v>253.17412333736397</v>
      </c>
    </row>
    <row r="681" spans="1:3" x14ac:dyDescent="0.35">
      <c r="A681" t="s">
        <v>15</v>
      </c>
      <c r="B681">
        <v>2019</v>
      </c>
      <c r="C681">
        <v>234.70965495820519</v>
      </c>
    </row>
    <row r="682" spans="1:3" x14ac:dyDescent="0.35">
      <c r="A682" t="s">
        <v>15</v>
      </c>
      <c r="B682">
        <v>2020</v>
      </c>
      <c r="C682">
        <v>322.86652649138955</v>
      </c>
    </row>
    <row r="683" spans="1:3" x14ac:dyDescent="0.35">
      <c r="A683" t="s">
        <v>15</v>
      </c>
      <c r="B683">
        <v>2021</v>
      </c>
      <c r="C683">
        <v>330.99807819198611</v>
      </c>
    </row>
    <row r="684" spans="1:3" x14ac:dyDescent="0.35">
      <c r="A684" t="s">
        <v>15</v>
      </c>
      <c r="B684">
        <v>2022</v>
      </c>
      <c r="C684">
        <v>331.74676604946757</v>
      </c>
    </row>
    <row r="685" spans="1:3" x14ac:dyDescent="0.35">
      <c r="A685" t="s">
        <v>15</v>
      </c>
      <c r="B685">
        <v>2023</v>
      </c>
      <c r="C685">
        <v>372.75185572335937</v>
      </c>
    </row>
    <row r="686" spans="1:3" x14ac:dyDescent="0.35">
      <c r="A686" t="s">
        <v>15</v>
      </c>
      <c r="B686">
        <v>2024</v>
      </c>
      <c r="C686">
        <v>557.76799311470882</v>
      </c>
    </row>
    <row r="687" spans="1:3" x14ac:dyDescent="0.35">
      <c r="A687" t="s">
        <v>15</v>
      </c>
      <c r="B687">
        <v>2025</v>
      </c>
      <c r="C687">
        <v>648.80993327371539</v>
      </c>
    </row>
    <row r="688" spans="1:3" x14ac:dyDescent="0.35">
      <c r="A688" t="s">
        <v>16</v>
      </c>
      <c r="B688">
        <v>1963</v>
      </c>
      <c r="C688">
        <v>58.21782178217822</v>
      </c>
    </row>
    <row r="689" spans="1:3" x14ac:dyDescent="0.35">
      <c r="A689" t="s">
        <v>16</v>
      </c>
      <c r="B689">
        <v>1964</v>
      </c>
      <c r="C689">
        <v>49.81818181818182</v>
      </c>
    </row>
    <row r="690" spans="1:3" x14ac:dyDescent="0.35">
      <c r="A690" t="s">
        <v>16</v>
      </c>
      <c r="B690">
        <v>1965</v>
      </c>
      <c r="C690">
        <v>78.909090909090907</v>
      </c>
    </row>
    <row r="691" spans="1:3" x14ac:dyDescent="0.35">
      <c r="A691" t="s">
        <v>16</v>
      </c>
      <c r="B691">
        <v>1966</v>
      </c>
      <c r="C691">
        <v>78.36363636363636</v>
      </c>
    </row>
    <row r="692" spans="1:3" x14ac:dyDescent="0.35">
      <c r="A692" t="s">
        <v>16</v>
      </c>
      <c r="B692">
        <v>1967</v>
      </c>
      <c r="C692">
        <v>45.907648681127725</v>
      </c>
    </row>
    <row r="693" spans="1:3" x14ac:dyDescent="0.35">
      <c r="A693" t="s">
        <v>16</v>
      </c>
      <c r="B693">
        <v>1968</v>
      </c>
      <c r="C693">
        <v>50.479041916167667</v>
      </c>
    </row>
    <row r="694" spans="1:3" x14ac:dyDescent="0.35">
      <c r="A694" t="s">
        <v>16</v>
      </c>
      <c r="B694">
        <v>1969</v>
      </c>
      <c r="C694">
        <v>72.455089820359291</v>
      </c>
    </row>
    <row r="695" spans="1:3" x14ac:dyDescent="0.35">
      <c r="A695" t="s">
        <v>16</v>
      </c>
      <c r="B695">
        <v>1970</v>
      </c>
      <c r="C695">
        <v>102.39520958083834</v>
      </c>
    </row>
    <row r="696" spans="1:3" x14ac:dyDescent="0.35">
      <c r="A696" t="s">
        <v>16</v>
      </c>
      <c r="B696">
        <v>1971</v>
      </c>
      <c r="C696">
        <v>101.79640718562875</v>
      </c>
    </row>
    <row r="697" spans="1:3" x14ac:dyDescent="0.35">
      <c r="A697" t="s">
        <v>16</v>
      </c>
      <c r="B697">
        <v>1972</v>
      </c>
      <c r="C697">
        <v>94.011976047904199</v>
      </c>
    </row>
    <row r="698" spans="1:3" x14ac:dyDescent="0.35">
      <c r="A698" t="s">
        <v>16</v>
      </c>
      <c r="B698">
        <v>1973</v>
      </c>
      <c r="C698">
        <v>102.39520958083834</v>
      </c>
    </row>
    <row r="699" spans="1:3" x14ac:dyDescent="0.35">
      <c r="A699" t="s">
        <v>16</v>
      </c>
      <c r="B699">
        <v>1974</v>
      </c>
      <c r="C699">
        <v>189.22155688622755</v>
      </c>
    </row>
    <row r="700" spans="1:3" x14ac:dyDescent="0.35">
      <c r="A700" t="s">
        <v>16</v>
      </c>
      <c r="B700">
        <v>1975</v>
      </c>
      <c r="C700">
        <v>173.65269461077844</v>
      </c>
    </row>
    <row r="701" spans="1:3" x14ac:dyDescent="0.35">
      <c r="A701" t="s">
        <v>16</v>
      </c>
      <c r="B701">
        <v>1976</v>
      </c>
      <c r="C701">
        <v>120.79535600549826</v>
      </c>
    </row>
    <row r="702" spans="1:3" x14ac:dyDescent="0.35">
      <c r="A702" t="s">
        <v>16</v>
      </c>
      <c r="B702">
        <v>1977</v>
      </c>
      <c r="C702">
        <v>161.47110332749563</v>
      </c>
    </row>
    <row r="703" spans="1:3" x14ac:dyDescent="0.35">
      <c r="A703" t="s">
        <v>16</v>
      </c>
      <c r="B703">
        <v>1978</v>
      </c>
      <c r="C703">
        <v>214.95189599055504</v>
      </c>
    </row>
    <row r="704" spans="1:3" x14ac:dyDescent="0.35">
      <c r="A704" t="s">
        <v>16</v>
      </c>
      <c r="B704">
        <v>1979</v>
      </c>
      <c r="C704">
        <v>190.94470762025614</v>
      </c>
    </row>
    <row r="705" spans="1:3" x14ac:dyDescent="0.35">
      <c r="A705" t="s">
        <v>16</v>
      </c>
      <c r="B705">
        <v>1980</v>
      </c>
      <c r="C705">
        <v>152.1836749785389</v>
      </c>
    </row>
    <row r="706" spans="1:3" x14ac:dyDescent="0.35">
      <c r="A706" t="s">
        <v>16</v>
      </c>
      <c r="B706">
        <v>1981</v>
      </c>
      <c r="C706">
        <v>71.671583962541845</v>
      </c>
    </row>
    <row r="707" spans="1:3" x14ac:dyDescent="0.35">
      <c r="A707" t="s">
        <v>16</v>
      </c>
      <c r="B707">
        <v>1982</v>
      </c>
      <c r="C707">
        <v>147.16242661448143</v>
      </c>
    </row>
    <row r="708" spans="1:3" x14ac:dyDescent="0.35">
      <c r="A708" t="s">
        <v>16</v>
      </c>
      <c r="B708">
        <v>1983</v>
      </c>
      <c r="C708">
        <v>78.919799790478393</v>
      </c>
    </row>
    <row r="709" spans="1:3" x14ac:dyDescent="0.35">
      <c r="A709" t="s">
        <v>16</v>
      </c>
      <c r="B709">
        <v>1984</v>
      </c>
      <c r="C709">
        <v>53.403541410584374</v>
      </c>
    </row>
    <row r="710" spans="1:3" x14ac:dyDescent="0.35">
      <c r="A710" t="s">
        <v>16</v>
      </c>
      <c r="B710">
        <v>1985</v>
      </c>
      <c r="C710">
        <v>40.371344167213181</v>
      </c>
    </row>
    <row r="711" spans="1:3" x14ac:dyDescent="0.35">
      <c r="A711" t="s">
        <v>16</v>
      </c>
      <c r="B711">
        <v>1986</v>
      </c>
      <c r="C711">
        <v>67.436312944752558</v>
      </c>
    </row>
    <row r="712" spans="1:3" x14ac:dyDescent="0.35">
      <c r="A712" t="s">
        <v>16</v>
      </c>
      <c r="B712">
        <v>1987</v>
      </c>
      <c r="C712">
        <v>28.297227672553024</v>
      </c>
    </row>
    <row r="713" spans="1:3" x14ac:dyDescent="0.35">
      <c r="A713" t="s">
        <v>16</v>
      </c>
      <c r="B713">
        <v>1988</v>
      </c>
      <c r="C713">
        <v>214.939929101904</v>
      </c>
    </row>
    <row r="714" spans="1:3" x14ac:dyDescent="0.35">
      <c r="A714" t="s">
        <v>16</v>
      </c>
      <c r="B714">
        <v>1989</v>
      </c>
      <c r="C714">
        <v>67.494749097316728</v>
      </c>
    </row>
    <row r="715" spans="1:3" x14ac:dyDescent="0.35">
      <c r="A715" t="s">
        <v>16</v>
      </c>
      <c r="B715">
        <v>1990</v>
      </c>
      <c r="C715">
        <v>45.933813550475001</v>
      </c>
    </row>
    <row r="716" spans="1:3" x14ac:dyDescent="0.35">
      <c r="A716" t="s">
        <v>16</v>
      </c>
      <c r="B716">
        <v>1991</v>
      </c>
      <c r="C716">
        <v>43.891987209720916</v>
      </c>
    </row>
    <row r="717" spans="1:3" x14ac:dyDescent="0.35">
      <c r="A717" t="s">
        <v>16</v>
      </c>
      <c r="B717">
        <v>1992</v>
      </c>
      <c r="C717">
        <v>85.527294362635729</v>
      </c>
    </row>
    <row r="718" spans="1:3" x14ac:dyDescent="0.35">
      <c r="A718" t="s">
        <v>16</v>
      </c>
      <c r="B718">
        <v>1993</v>
      </c>
      <c r="C718">
        <v>469.17380548993407</v>
      </c>
    </row>
    <row r="719" spans="1:3" x14ac:dyDescent="0.35">
      <c r="A719" t="s">
        <v>16</v>
      </c>
      <c r="B719">
        <v>1996</v>
      </c>
      <c r="C719">
        <v>89.269879983819848</v>
      </c>
    </row>
    <row r="720" spans="1:3" x14ac:dyDescent="0.35">
      <c r="A720" t="s">
        <v>16</v>
      </c>
      <c r="B720">
        <v>1997</v>
      </c>
      <c r="C720">
        <v>83.825040922760664</v>
      </c>
    </row>
    <row r="721" spans="1:3" x14ac:dyDescent="0.35">
      <c r="A721" t="s">
        <v>16</v>
      </c>
      <c r="B721">
        <v>1998</v>
      </c>
      <c r="C721">
        <v>26.62966719137896</v>
      </c>
    </row>
    <row r="722" spans="1:3" x14ac:dyDescent="0.35">
      <c r="A722" t="s">
        <v>16</v>
      </c>
      <c r="B722">
        <v>1999</v>
      </c>
      <c r="C722">
        <v>149.27786026776499</v>
      </c>
    </row>
    <row r="723" spans="1:3" x14ac:dyDescent="0.35">
      <c r="A723" t="s">
        <v>16</v>
      </c>
      <c r="B723">
        <v>2000</v>
      </c>
      <c r="C723">
        <v>132.88382170389949</v>
      </c>
    </row>
    <row r="724" spans="1:3" x14ac:dyDescent="0.35">
      <c r="A724" t="s">
        <v>16</v>
      </c>
      <c r="B724">
        <v>2003</v>
      </c>
      <c r="C724">
        <v>78.708031879860982</v>
      </c>
    </row>
    <row r="725" spans="1:3" x14ac:dyDescent="0.35">
      <c r="A725" t="s">
        <v>16</v>
      </c>
      <c r="B725">
        <v>2004</v>
      </c>
      <c r="C725">
        <v>137.63780552523806</v>
      </c>
    </row>
    <row r="726" spans="1:3" x14ac:dyDescent="0.35">
      <c r="A726" t="s">
        <v>16</v>
      </c>
      <c r="B726">
        <v>2005</v>
      </c>
      <c r="C726">
        <v>165.20506089789578</v>
      </c>
    </row>
    <row r="727" spans="1:3" x14ac:dyDescent="0.35">
      <c r="A727" t="s">
        <v>16</v>
      </c>
      <c r="B727">
        <v>2006</v>
      </c>
      <c r="C727">
        <v>205.10208657659214</v>
      </c>
    </row>
    <row r="728" spans="1:3" x14ac:dyDescent="0.35">
      <c r="A728" t="s">
        <v>16</v>
      </c>
      <c r="B728">
        <v>2007</v>
      </c>
      <c r="C728">
        <v>205.21722302854377</v>
      </c>
    </row>
    <row r="729" spans="1:3" x14ac:dyDescent="0.35">
      <c r="A729" t="s">
        <v>16</v>
      </c>
      <c r="B729">
        <v>2008</v>
      </c>
      <c r="C729">
        <v>159.9984265849921</v>
      </c>
    </row>
    <row r="730" spans="1:3" x14ac:dyDescent="0.35">
      <c r="A730" t="s">
        <v>16</v>
      </c>
      <c r="B730">
        <v>2009</v>
      </c>
      <c r="C730">
        <v>122.37801098067885</v>
      </c>
    </row>
    <row r="731" spans="1:3" x14ac:dyDescent="0.35">
      <c r="A731" t="s">
        <v>16</v>
      </c>
      <c r="B731">
        <v>2010</v>
      </c>
      <c r="C731">
        <v>183.68209750825963</v>
      </c>
    </row>
    <row r="732" spans="1:3" x14ac:dyDescent="0.35">
      <c r="A732" t="s">
        <v>16</v>
      </c>
      <c r="B732">
        <v>2011</v>
      </c>
      <c r="C732">
        <v>238.78754658827546</v>
      </c>
    </row>
    <row r="733" spans="1:3" x14ac:dyDescent="0.35">
      <c r="A733" t="s">
        <v>16</v>
      </c>
      <c r="B733">
        <v>2012</v>
      </c>
      <c r="C733">
        <v>332.49397937494223</v>
      </c>
    </row>
    <row r="734" spans="1:3" x14ac:dyDescent="0.35">
      <c r="A734" t="s">
        <v>16</v>
      </c>
      <c r="B734">
        <v>2013</v>
      </c>
      <c r="C734">
        <v>374.47565335181775</v>
      </c>
    </row>
    <row r="735" spans="1:3" x14ac:dyDescent="0.35">
      <c r="A735" t="s">
        <v>16</v>
      </c>
      <c r="B735">
        <v>2014</v>
      </c>
      <c r="C735">
        <v>341.22463440621283</v>
      </c>
    </row>
    <row r="736" spans="1:3" x14ac:dyDescent="0.35">
      <c r="A736" t="s">
        <v>16</v>
      </c>
      <c r="B736">
        <v>2015</v>
      </c>
      <c r="C736">
        <v>491.27687707905375</v>
      </c>
    </row>
    <row r="737" spans="1:3" x14ac:dyDescent="0.35">
      <c r="A737" t="s">
        <v>16</v>
      </c>
      <c r="B737">
        <v>2016</v>
      </c>
      <c r="C737">
        <v>395.73374524705577</v>
      </c>
    </row>
    <row r="738" spans="1:3" x14ac:dyDescent="0.35">
      <c r="A738" t="s">
        <v>16</v>
      </c>
      <c r="B738">
        <v>2017</v>
      </c>
      <c r="C738">
        <v>295.23607431757978</v>
      </c>
    </row>
    <row r="739" spans="1:3" x14ac:dyDescent="0.35">
      <c r="A739" t="s">
        <v>16</v>
      </c>
      <c r="B739">
        <v>2018</v>
      </c>
      <c r="C739">
        <v>295.3483646354702</v>
      </c>
    </row>
    <row r="740" spans="1:3" x14ac:dyDescent="0.35">
      <c r="A740" t="s">
        <v>16</v>
      </c>
      <c r="B740">
        <v>2019</v>
      </c>
      <c r="C740">
        <v>352.70956559681957</v>
      </c>
    </row>
    <row r="741" spans="1:3" x14ac:dyDescent="0.35">
      <c r="A741" t="s">
        <v>16</v>
      </c>
      <c r="B741">
        <v>2020</v>
      </c>
      <c r="C741">
        <v>362.09161553927112</v>
      </c>
    </row>
    <row r="742" spans="1:3" x14ac:dyDescent="0.35">
      <c r="A742" t="s">
        <v>16</v>
      </c>
      <c r="B742">
        <v>2021</v>
      </c>
      <c r="C742">
        <v>306.07878256061349</v>
      </c>
    </row>
    <row r="743" spans="1:3" x14ac:dyDescent="0.35">
      <c r="A743" t="s">
        <v>16</v>
      </c>
      <c r="B743">
        <v>2022</v>
      </c>
      <c r="C743">
        <v>371.08159985082017</v>
      </c>
    </row>
    <row r="744" spans="1:3" x14ac:dyDescent="0.35">
      <c r="A744" t="s">
        <v>16</v>
      </c>
      <c r="B744">
        <v>2023</v>
      </c>
      <c r="C744">
        <v>794.24459807227458</v>
      </c>
    </row>
    <row r="745" spans="1:3" x14ac:dyDescent="0.35">
      <c r="A745" t="s">
        <v>16</v>
      </c>
      <c r="B745">
        <v>2024</v>
      </c>
      <c r="C745">
        <v>899.18777840383575</v>
      </c>
    </row>
    <row r="746" spans="1:3" x14ac:dyDescent="0.35">
      <c r="A746" t="s">
        <v>16</v>
      </c>
      <c r="B746">
        <v>2025</v>
      </c>
      <c r="C746">
        <v>1225.2521341519628</v>
      </c>
    </row>
    <row r="747" spans="1:3" x14ac:dyDescent="0.35">
      <c r="A747" t="s">
        <v>17</v>
      </c>
      <c r="B747">
        <v>1970</v>
      </c>
      <c r="C747">
        <v>13.100436681222707</v>
      </c>
    </row>
    <row r="748" spans="1:3" x14ac:dyDescent="0.35">
      <c r="A748" t="s">
        <v>17</v>
      </c>
      <c r="B748">
        <v>1971</v>
      </c>
      <c r="C748">
        <v>13.749473408968754</v>
      </c>
    </row>
    <row r="749" spans="1:3" x14ac:dyDescent="0.35">
      <c r="A749" t="s">
        <v>17</v>
      </c>
      <c r="B749">
        <v>1972</v>
      </c>
      <c r="C749">
        <v>12.744615677623122</v>
      </c>
    </row>
    <row r="750" spans="1:3" x14ac:dyDescent="0.35">
      <c r="A750" t="s">
        <v>17</v>
      </c>
      <c r="B750">
        <v>1973</v>
      </c>
      <c r="C750">
        <v>19.426710156176391</v>
      </c>
    </row>
    <row r="751" spans="1:3" x14ac:dyDescent="0.35">
      <c r="A751" t="s">
        <v>17</v>
      </c>
      <c r="B751">
        <v>1974</v>
      </c>
      <c r="C751">
        <v>24.137429633784095</v>
      </c>
    </row>
    <row r="752" spans="1:3" x14ac:dyDescent="0.35">
      <c r="A752" t="s">
        <v>17</v>
      </c>
      <c r="B752">
        <v>1975</v>
      </c>
      <c r="C752">
        <v>33.493068549271392</v>
      </c>
    </row>
    <row r="753" spans="1:3" x14ac:dyDescent="0.35">
      <c r="A753" t="s">
        <v>17</v>
      </c>
      <c r="B753">
        <v>1976</v>
      </c>
      <c r="C753">
        <v>34.33772755806654</v>
      </c>
    </row>
    <row r="754" spans="1:3" x14ac:dyDescent="0.35">
      <c r="A754" t="s">
        <v>17</v>
      </c>
      <c r="B754">
        <v>1977</v>
      </c>
      <c r="C754">
        <v>36.633018560729404</v>
      </c>
    </row>
    <row r="755" spans="1:3" x14ac:dyDescent="0.35">
      <c r="A755" t="s">
        <v>17</v>
      </c>
      <c r="B755">
        <v>1978</v>
      </c>
      <c r="C755">
        <v>37.960435352926574</v>
      </c>
    </row>
    <row r="756" spans="1:3" x14ac:dyDescent="0.35">
      <c r="A756" t="s">
        <v>17</v>
      </c>
      <c r="B756">
        <v>1979</v>
      </c>
      <c r="C756">
        <v>52.56626018935512</v>
      </c>
    </row>
    <row r="757" spans="1:3" x14ac:dyDescent="0.35">
      <c r="A757" t="s">
        <v>17</v>
      </c>
      <c r="B757">
        <v>1980</v>
      </c>
      <c r="C757">
        <v>57.416698220371075</v>
      </c>
    </row>
    <row r="758" spans="1:3" x14ac:dyDescent="0.35">
      <c r="A758" t="s">
        <v>17</v>
      </c>
      <c r="B758">
        <v>1981</v>
      </c>
      <c r="C758">
        <v>63.535260975008377</v>
      </c>
    </row>
    <row r="759" spans="1:3" x14ac:dyDescent="0.35">
      <c r="A759" t="s">
        <v>17</v>
      </c>
      <c r="B759">
        <v>1982</v>
      </c>
      <c r="C759">
        <v>72.427162011649202</v>
      </c>
    </row>
    <row r="760" spans="1:3" x14ac:dyDescent="0.35">
      <c r="A760" t="s">
        <v>17</v>
      </c>
      <c r="B760">
        <v>1984</v>
      </c>
      <c r="C760">
        <v>49.423627496527118</v>
      </c>
    </row>
    <row r="761" spans="1:3" x14ac:dyDescent="0.35">
      <c r="A761" t="s">
        <v>17</v>
      </c>
      <c r="B761">
        <v>1985</v>
      </c>
      <c r="C761">
        <v>55.646692471892855</v>
      </c>
    </row>
    <row r="762" spans="1:3" x14ac:dyDescent="0.35">
      <c r="A762" t="s">
        <v>17</v>
      </c>
      <c r="B762">
        <v>1987</v>
      </c>
      <c r="C762">
        <v>100.5134143216975</v>
      </c>
    </row>
    <row r="763" spans="1:3" x14ac:dyDescent="0.35">
      <c r="A763" t="s">
        <v>17</v>
      </c>
      <c r="B763">
        <v>1992</v>
      </c>
      <c r="C763">
        <v>125.61769906155078</v>
      </c>
    </row>
    <row r="764" spans="1:3" x14ac:dyDescent="0.35">
      <c r="A764" t="s">
        <v>17</v>
      </c>
      <c r="B764">
        <v>1993</v>
      </c>
      <c r="C764">
        <v>109.477580051066</v>
      </c>
    </row>
    <row r="765" spans="1:3" x14ac:dyDescent="0.35">
      <c r="A765" t="s">
        <v>17</v>
      </c>
      <c r="B765">
        <v>2001</v>
      </c>
      <c r="C765">
        <v>54.445943530971753</v>
      </c>
    </row>
    <row r="766" spans="1:3" x14ac:dyDescent="0.35">
      <c r="A766" t="s">
        <v>17</v>
      </c>
      <c r="B766">
        <v>2002</v>
      </c>
      <c r="C766">
        <v>70.704230201954687</v>
      </c>
    </row>
    <row r="767" spans="1:3" x14ac:dyDescent="0.35">
      <c r="A767" t="s">
        <v>17</v>
      </c>
      <c r="B767">
        <v>2003</v>
      </c>
      <c r="C767">
        <v>93.77666896077082</v>
      </c>
    </row>
    <row r="768" spans="1:3" x14ac:dyDescent="0.35">
      <c r="A768" t="s">
        <v>17</v>
      </c>
      <c r="B768">
        <v>2004</v>
      </c>
      <c r="C768">
        <v>124.29843739648106</v>
      </c>
    </row>
    <row r="769" spans="1:3" x14ac:dyDescent="0.35">
      <c r="A769" t="s">
        <v>17</v>
      </c>
      <c r="B769">
        <v>2005</v>
      </c>
      <c r="C769">
        <v>100.91607452963972</v>
      </c>
    </row>
    <row r="770" spans="1:3" x14ac:dyDescent="0.35">
      <c r="A770" t="s">
        <v>17</v>
      </c>
      <c r="B770">
        <v>2006</v>
      </c>
      <c r="C770">
        <v>126.56964179846622</v>
      </c>
    </row>
    <row r="771" spans="1:3" x14ac:dyDescent="0.35">
      <c r="A771" t="s">
        <v>17</v>
      </c>
      <c r="B771">
        <v>2007</v>
      </c>
      <c r="C771">
        <v>168.07958820448727</v>
      </c>
    </row>
    <row r="772" spans="1:3" x14ac:dyDescent="0.35">
      <c r="A772" t="s">
        <v>17</v>
      </c>
      <c r="B772">
        <v>2008</v>
      </c>
      <c r="C772">
        <v>207.72434430164915</v>
      </c>
    </row>
    <row r="773" spans="1:3" x14ac:dyDescent="0.35">
      <c r="A773" t="s">
        <v>17</v>
      </c>
      <c r="B773">
        <v>2010</v>
      </c>
      <c r="C773">
        <v>218.39092063633078</v>
      </c>
    </row>
    <row r="774" spans="1:3" x14ac:dyDescent="0.35">
      <c r="A774" t="s">
        <v>17</v>
      </c>
      <c r="B774">
        <v>2013</v>
      </c>
      <c r="C774">
        <v>367.05729547164015</v>
      </c>
    </row>
    <row r="775" spans="1:3" x14ac:dyDescent="0.35">
      <c r="A775" t="s">
        <v>17</v>
      </c>
      <c r="B775">
        <v>2014</v>
      </c>
      <c r="C775">
        <v>704.89372940790702</v>
      </c>
    </row>
    <row r="776" spans="1:3" x14ac:dyDescent="0.35">
      <c r="A776" t="s">
        <v>17</v>
      </c>
      <c r="B776">
        <v>2016</v>
      </c>
      <c r="C776">
        <v>501.81214493783648</v>
      </c>
    </row>
    <row r="777" spans="1:3" x14ac:dyDescent="0.35">
      <c r="A777" t="s">
        <v>17</v>
      </c>
      <c r="B777">
        <v>2017</v>
      </c>
      <c r="C777">
        <v>371.93705507680778</v>
      </c>
    </row>
    <row r="778" spans="1:3" x14ac:dyDescent="0.35">
      <c r="A778" t="s">
        <v>17</v>
      </c>
      <c r="B778">
        <v>2018</v>
      </c>
      <c r="C778">
        <v>292.26046525018711</v>
      </c>
    </row>
    <row r="779" spans="1:3" x14ac:dyDescent="0.35">
      <c r="A779" t="s">
        <v>17</v>
      </c>
      <c r="B779">
        <v>2019</v>
      </c>
      <c r="C779">
        <v>299.95323896934593</v>
      </c>
    </row>
    <row r="780" spans="1:3" x14ac:dyDescent="0.35">
      <c r="A780" t="s">
        <v>17</v>
      </c>
      <c r="B780">
        <v>2020</v>
      </c>
      <c r="C780">
        <v>298.38219194745164</v>
      </c>
    </row>
    <row r="781" spans="1:3" x14ac:dyDescent="0.35">
      <c r="A781" t="s">
        <v>17</v>
      </c>
      <c r="B781">
        <v>2021</v>
      </c>
      <c r="C781">
        <v>313.05639587081703</v>
      </c>
    </row>
    <row r="782" spans="1:3" x14ac:dyDescent="0.35">
      <c r="A782" t="s">
        <v>17</v>
      </c>
      <c r="B782">
        <v>2022</v>
      </c>
      <c r="C782">
        <v>265.84797528725483</v>
      </c>
    </row>
    <row r="783" spans="1:3" x14ac:dyDescent="0.35">
      <c r="A783" t="s">
        <v>17</v>
      </c>
      <c r="B783">
        <v>2023</v>
      </c>
      <c r="C783">
        <v>284.99442966404865</v>
      </c>
    </row>
    <row r="784" spans="1:3" x14ac:dyDescent="0.35">
      <c r="A784" t="s">
        <v>17</v>
      </c>
      <c r="B784">
        <v>2024</v>
      </c>
      <c r="C784">
        <v>182.06151562628844</v>
      </c>
    </row>
    <row r="785" spans="1:3" x14ac:dyDescent="0.35">
      <c r="A785" t="s">
        <v>17</v>
      </c>
      <c r="B785">
        <v>2025</v>
      </c>
      <c r="C785">
        <v>204.91676411914426</v>
      </c>
    </row>
    <row r="786" spans="1:3" x14ac:dyDescent="0.35">
      <c r="A786" t="s">
        <v>18</v>
      </c>
      <c r="B786">
        <v>1962</v>
      </c>
      <c r="C786">
        <v>8.7668459761483017</v>
      </c>
    </row>
    <row r="787" spans="1:3" x14ac:dyDescent="0.35">
      <c r="A787" t="s">
        <v>18</v>
      </c>
      <c r="B787">
        <v>1963</v>
      </c>
      <c r="C787">
        <v>8.0647794429751531</v>
      </c>
    </row>
    <row r="788" spans="1:3" x14ac:dyDescent="0.35">
      <c r="A788" t="s">
        <v>18</v>
      </c>
      <c r="B788">
        <v>1964</v>
      </c>
      <c r="C788">
        <v>11.190603484513952</v>
      </c>
    </row>
    <row r="789" spans="1:3" x14ac:dyDescent="0.35">
      <c r="A789" t="s">
        <v>18</v>
      </c>
      <c r="B789">
        <v>1965</v>
      </c>
      <c r="C789">
        <v>12.902909887742235</v>
      </c>
    </row>
    <row r="790" spans="1:3" x14ac:dyDescent="0.35">
      <c r="A790" t="s">
        <v>18</v>
      </c>
      <c r="B790">
        <v>1966</v>
      </c>
      <c r="C790">
        <v>13.269401411603807</v>
      </c>
    </row>
    <row r="791" spans="1:3" x14ac:dyDescent="0.35">
      <c r="A791" t="s">
        <v>18</v>
      </c>
      <c r="B791">
        <v>1967</v>
      </c>
      <c r="C791">
        <v>14.711322311697918</v>
      </c>
    </row>
    <row r="792" spans="1:3" x14ac:dyDescent="0.35">
      <c r="A792" t="s">
        <v>18</v>
      </c>
      <c r="B792">
        <v>1968</v>
      </c>
      <c r="C792">
        <v>15.30507139539111</v>
      </c>
    </row>
    <row r="793" spans="1:3" x14ac:dyDescent="0.35">
      <c r="A793" t="s">
        <v>18</v>
      </c>
      <c r="B793">
        <v>1969</v>
      </c>
      <c r="C793">
        <v>16.156269594285295</v>
      </c>
    </row>
    <row r="794" spans="1:3" x14ac:dyDescent="0.35">
      <c r="A794" t="s">
        <v>18</v>
      </c>
      <c r="B794">
        <v>1970</v>
      </c>
      <c r="C794">
        <v>17.727738121510981</v>
      </c>
    </row>
    <row r="795" spans="1:3" x14ac:dyDescent="0.35">
      <c r="A795" t="s">
        <v>18</v>
      </c>
      <c r="B795">
        <v>1971</v>
      </c>
      <c r="C795">
        <v>23.968971077441566</v>
      </c>
    </row>
    <row r="796" spans="1:3" x14ac:dyDescent="0.35">
      <c r="A796" t="s">
        <v>18</v>
      </c>
      <c r="B796">
        <v>1972</v>
      </c>
      <c r="C796">
        <v>31.742504801053851</v>
      </c>
    </row>
    <row r="797" spans="1:3" x14ac:dyDescent="0.35">
      <c r="A797" t="s">
        <v>18</v>
      </c>
      <c r="B797">
        <v>1973</v>
      </c>
      <c r="C797">
        <v>28.713844110745704</v>
      </c>
    </row>
    <row r="798" spans="1:3" x14ac:dyDescent="0.35">
      <c r="A798" t="s">
        <v>18</v>
      </c>
      <c r="B798">
        <v>1974</v>
      </c>
      <c r="C798">
        <v>41.12918302486446</v>
      </c>
    </row>
    <row r="799" spans="1:3" x14ac:dyDescent="0.35">
      <c r="A799" t="s">
        <v>18</v>
      </c>
      <c r="B799">
        <v>1975</v>
      </c>
      <c r="C799">
        <v>45.886157162654627</v>
      </c>
    </row>
    <row r="800" spans="1:3" x14ac:dyDescent="0.35">
      <c r="A800" t="s">
        <v>18</v>
      </c>
      <c r="B800">
        <v>1976</v>
      </c>
      <c r="C800">
        <v>52.462858338564551</v>
      </c>
    </row>
    <row r="801" spans="1:3" x14ac:dyDescent="0.35">
      <c r="A801" t="s">
        <v>18</v>
      </c>
      <c r="B801">
        <v>1977</v>
      </c>
      <c r="C801">
        <v>51.44903940084663</v>
      </c>
    </row>
    <row r="802" spans="1:3" x14ac:dyDescent="0.35">
      <c r="A802" t="s">
        <v>18</v>
      </c>
      <c r="B802">
        <v>1978</v>
      </c>
      <c r="C802">
        <v>86.764810153507995</v>
      </c>
    </row>
    <row r="803" spans="1:3" x14ac:dyDescent="0.35">
      <c r="A803" t="s">
        <v>18</v>
      </c>
      <c r="B803">
        <v>1979</v>
      </c>
      <c r="C803">
        <v>102.7350250561766</v>
      </c>
    </row>
    <row r="804" spans="1:3" x14ac:dyDescent="0.35">
      <c r="A804" t="s">
        <v>18</v>
      </c>
      <c r="B804">
        <v>1980</v>
      </c>
      <c r="C804">
        <v>118.47311624384703</v>
      </c>
    </row>
    <row r="805" spans="1:3" x14ac:dyDescent="0.35">
      <c r="A805" t="s">
        <v>18</v>
      </c>
      <c r="B805">
        <v>1981</v>
      </c>
      <c r="C805">
        <v>92.002752722361464</v>
      </c>
    </row>
    <row r="806" spans="1:3" x14ac:dyDescent="0.35">
      <c r="A806" t="s">
        <v>18</v>
      </c>
      <c r="B806">
        <v>1982</v>
      </c>
      <c r="C806">
        <v>86.425689123144437</v>
      </c>
    </row>
    <row r="807" spans="1:3" x14ac:dyDescent="0.35">
      <c r="A807" t="s">
        <v>18</v>
      </c>
      <c r="B807">
        <v>1983</v>
      </c>
      <c r="C807">
        <v>76.251882875932267</v>
      </c>
    </row>
    <row r="808" spans="1:3" x14ac:dyDescent="0.35">
      <c r="A808" t="s">
        <v>18</v>
      </c>
      <c r="B808">
        <v>1984</v>
      </c>
      <c r="C808">
        <v>70.164798824598293</v>
      </c>
    </row>
    <row r="809" spans="1:3" x14ac:dyDescent="0.35">
      <c r="A809" t="s">
        <v>18</v>
      </c>
      <c r="B809">
        <v>1985</v>
      </c>
      <c r="C809">
        <v>69.565043192962705</v>
      </c>
    </row>
    <row r="810" spans="1:3" x14ac:dyDescent="0.35">
      <c r="A810" t="s">
        <v>18</v>
      </c>
      <c r="B810">
        <v>1986</v>
      </c>
      <c r="C810">
        <v>96.55911246123371</v>
      </c>
    </row>
    <row r="811" spans="1:3" x14ac:dyDescent="0.35">
      <c r="A811" t="s">
        <v>18</v>
      </c>
      <c r="B811">
        <v>1987</v>
      </c>
      <c r="C811">
        <v>122.78022340011381</v>
      </c>
    </row>
    <row r="812" spans="1:3" x14ac:dyDescent="0.35">
      <c r="A812" t="s">
        <v>18</v>
      </c>
      <c r="B812">
        <v>1988</v>
      </c>
      <c r="C812">
        <v>128.10225349842872</v>
      </c>
    </row>
    <row r="813" spans="1:3" x14ac:dyDescent="0.35">
      <c r="A813" t="s">
        <v>18</v>
      </c>
      <c r="B813">
        <v>1989</v>
      </c>
      <c r="C813">
        <v>129.67699869595748</v>
      </c>
    </row>
    <row r="814" spans="1:3" x14ac:dyDescent="0.35">
      <c r="A814" t="s">
        <v>18</v>
      </c>
      <c r="B814">
        <v>1990</v>
      </c>
      <c r="C814">
        <v>143.97370209171211</v>
      </c>
    </row>
    <row r="815" spans="1:3" x14ac:dyDescent="0.35">
      <c r="A815" t="s">
        <v>18</v>
      </c>
      <c r="B815">
        <v>1991</v>
      </c>
      <c r="C815">
        <v>144.16870194642456</v>
      </c>
    </row>
    <row r="816" spans="1:3" x14ac:dyDescent="0.35">
      <c r="A816" t="s">
        <v>18</v>
      </c>
      <c r="B816">
        <v>1992</v>
      </c>
      <c r="C816">
        <v>156.79733426019675</v>
      </c>
    </row>
    <row r="817" spans="1:3" x14ac:dyDescent="0.35">
      <c r="A817" t="s">
        <v>18</v>
      </c>
      <c r="B817">
        <v>1993</v>
      </c>
      <c r="C817">
        <v>148.63523836094404</v>
      </c>
    </row>
    <row r="818" spans="1:3" x14ac:dyDescent="0.35">
      <c r="A818" t="s">
        <v>18</v>
      </c>
      <c r="B818">
        <v>1994</v>
      </c>
      <c r="C818">
        <v>84.071649210651913</v>
      </c>
    </row>
    <row r="819" spans="1:3" x14ac:dyDescent="0.35">
      <c r="A819" t="s">
        <v>18</v>
      </c>
      <c r="B819">
        <v>1996</v>
      </c>
      <c r="C819">
        <v>102.66014012260727</v>
      </c>
    </row>
    <row r="820" spans="1:3" x14ac:dyDescent="0.35">
      <c r="A820" t="s">
        <v>18</v>
      </c>
      <c r="B820">
        <v>1997</v>
      </c>
      <c r="C820">
        <v>93.52561126254777</v>
      </c>
    </row>
    <row r="821" spans="1:3" x14ac:dyDescent="0.35">
      <c r="A821" t="s">
        <v>18</v>
      </c>
      <c r="B821">
        <v>2003</v>
      </c>
      <c r="C821">
        <v>213.00757054370266</v>
      </c>
    </row>
    <row r="822" spans="1:3" x14ac:dyDescent="0.35">
      <c r="A822" t="s">
        <v>18</v>
      </c>
      <c r="B822">
        <v>2004</v>
      </c>
      <c r="C822">
        <v>250.81158844184486</v>
      </c>
    </row>
    <row r="823" spans="1:3" x14ac:dyDescent="0.35">
      <c r="A823" t="s">
        <v>18</v>
      </c>
      <c r="B823">
        <v>2005</v>
      </c>
      <c r="C823">
        <v>249.87297807639521</v>
      </c>
    </row>
    <row r="824" spans="1:3" x14ac:dyDescent="0.35">
      <c r="A824" t="s">
        <v>18</v>
      </c>
      <c r="B824">
        <v>2006</v>
      </c>
      <c r="C824">
        <v>267.36024785327697</v>
      </c>
    </row>
    <row r="825" spans="1:3" x14ac:dyDescent="0.35">
      <c r="A825" t="s">
        <v>18</v>
      </c>
      <c r="B825">
        <v>2007</v>
      </c>
      <c r="C825">
        <v>323.61919347670505</v>
      </c>
    </row>
    <row r="826" spans="1:3" x14ac:dyDescent="0.35">
      <c r="A826" t="s">
        <v>18</v>
      </c>
      <c r="B826">
        <v>2008</v>
      </c>
      <c r="C826">
        <v>368.9105749154208</v>
      </c>
    </row>
    <row r="827" spans="1:3" x14ac:dyDescent="0.35">
      <c r="A827" t="s">
        <v>18</v>
      </c>
      <c r="B827">
        <v>2009</v>
      </c>
      <c r="C827">
        <v>420.05904452906276</v>
      </c>
    </row>
    <row r="828" spans="1:3" x14ac:dyDescent="0.35">
      <c r="A828" t="s">
        <v>18</v>
      </c>
      <c r="B828">
        <v>2010</v>
      </c>
      <c r="C828">
        <v>387.69213995400554</v>
      </c>
    </row>
    <row r="829" spans="1:3" x14ac:dyDescent="0.35">
      <c r="A829" t="s">
        <v>18</v>
      </c>
      <c r="B829">
        <v>2011</v>
      </c>
      <c r="C829">
        <v>357.33025901421166</v>
      </c>
    </row>
    <row r="830" spans="1:3" x14ac:dyDescent="0.35">
      <c r="A830" t="s">
        <v>18</v>
      </c>
      <c r="B830">
        <v>2012</v>
      </c>
      <c r="C830">
        <v>407.59653412323723</v>
      </c>
    </row>
    <row r="831" spans="1:3" x14ac:dyDescent="0.35">
      <c r="A831" t="s">
        <v>18</v>
      </c>
      <c r="B831">
        <v>2013</v>
      </c>
      <c r="C831">
        <v>430.00361083648909</v>
      </c>
    </row>
    <row r="832" spans="1:3" x14ac:dyDescent="0.35">
      <c r="A832" t="s">
        <v>18</v>
      </c>
      <c r="B832">
        <v>2014</v>
      </c>
      <c r="C832">
        <v>521.26052925102977</v>
      </c>
    </row>
    <row r="833" spans="1:3" x14ac:dyDescent="0.35">
      <c r="A833" t="s">
        <v>18</v>
      </c>
      <c r="B833">
        <v>2015</v>
      </c>
      <c r="C833">
        <v>569.67162154453808</v>
      </c>
    </row>
    <row r="834" spans="1:3" x14ac:dyDescent="0.35">
      <c r="A834" t="s">
        <v>18</v>
      </c>
      <c r="B834">
        <v>2016</v>
      </c>
      <c r="C834">
        <v>602.53873123535357</v>
      </c>
    </row>
    <row r="835" spans="1:3" x14ac:dyDescent="0.35">
      <c r="A835" t="s">
        <v>18</v>
      </c>
      <c r="B835">
        <v>2017</v>
      </c>
      <c r="C835">
        <v>501.57873224564872</v>
      </c>
    </row>
    <row r="836" spans="1:3" x14ac:dyDescent="0.35">
      <c r="A836" t="s">
        <v>18</v>
      </c>
      <c r="B836">
        <v>2018</v>
      </c>
      <c r="C836">
        <v>607.84821788449358</v>
      </c>
    </row>
    <row r="837" spans="1:3" x14ac:dyDescent="0.35">
      <c r="A837" t="s">
        <v>18</v>
      </c>
      <c r="B837">
        <v>2019</v>
      </c>
      <c r="C837">
        <v>535.95138218097543</v>
      </c>
    </row>
    <row r="838" spans="1:3" x14ac:dyDescent="0.35">
      <c r="A838" t="s">
        <v>18</v>
      </c>
      <c r="B838">
        <v>2020</v>
      </c>
      <c r="C838">
        <v>607.15588996819986</v>
      </c>
    </row>
    <row r="839" spans="1:3" x14ac:dyDescent="0.35">
      <c r="A839" t="s">
        <v>18</v>
      </c>
      <c r="B839">
        <v>2021</v>
      </c>
      <c r="C839">
        <v>637.65691281749889</v>
      </c>
    </row>
    <row r="840" spans="1:3" x14ac:dyDescent="0.35">
      <c r="A840" t="s">
        <v>18</v>
      </c>
      <c r="B840">
        <v>2022</v>
      </c>
      <c r="C840">
        <v>607.24569955657012</v>
      </c>
    </row>
    <row r="841" spans="1:3" x14ac:dyDescent="0.35">
      <c r="A841" t="s">
        <v>18</v>
      </c>
      <c r="B841">
        <v>2023</v>
      </c>
      <c r="C841">
        <v>682.17711134921444</v>
      </c>
    </row>
    <row r="842" spans="1:3" x14ac:dyDescent="0.35">
      <c r="A842" t="s">
        <v>18</v>
      </c>
      <c r="B842">
        <v>2024</v>
      </c>
      <c r="C842">
        <v>658.42021299454598</v>
      </c>
    </row>
    <row r="843" spans="1:3" x14ac:dyDescent="0.35">
      <c r="A843" t="s">
        <v>18</v>
      </c>
      <c r="B843">
        <v>2025</v>
      </c>
      <c r="C843">
        <v>759.44142532847218</v>
      </c>
    </row>
    <row r="844" spans="1:3" x14ac:dyDescent="0.35">
      <c r="A844" t="s">
        <v>19</v>
      </c>
      <c r="B844">
        <v>1978</v>
      </c>
      <c r="C844">
        <v>4.5014376466483985E-2</v>
      </c>
    </row>
    <row r="845" spans="1:3" x14ac:dyDescent="0.35">
      <c r="A845" t="s">
        <v>19</v>
      </c>
      <c r="B845">
        <v>1979</v>
      </c>
      <c r="C845">
        <v>4.5014376466483985E-2</v>
      </c>
    </row>
    <row r="846" spans="1:3" x14ac:dyDescent="0.35">
      <c r="A846" t="s">
        <v>19</v>
      </c>
      <c r="B846">
        <v>1980</v>
      </c>
      <c r="C846">
        <v>1.817455449834291</v>
      </c>
    </row>
    <row r="847" spans="1:3" x14ac:dyDescent="0.35">
      <c r="A847" t="s">
        <v>19</v>
      </c>
      <c r="B847">
        <v>1981</v>
      </c>
      <c r="C847">
        <v>5.3510840024532831</v>
      </c>
    </row>
    <row r="848" spans="1:3" x14ac:dyDescent="0.35">
      <c r="A848" t="s">
        <v>19</v>
      </c>
      <c r="B848">
        <v>1982</v>
      </c>
      <c r="C848">
        <v>29.608206120829838</v>
      </c>
    </row>
    <row r="849" spans="1:3" x14ac:dyDescent="0.35">
      <c r="A849" t="s">
        <v>19</v>
      </c>
      <c r="B849">
        <v>1983</v>
      </c>
      <c r="C849">
        <v>30.902369444241256</v>
      </c>
    </row>
    <row r="850" spans="1:3" x14ac:dyDescent="0.35">
      <c r="A850" t="s">
        <v>19</v>
      </c>
      <c r="B850">
        <v>1984</v>
      </c>
      <c r="C850">
        <v>31.133068123631983</v>
      </c>
    </row>
    <row r="851" spans="1:3" x14ac:dyDescent="0.35">
      <c r="A851" t="s">
        <v>19</v>
      </c>
      <c r="B851">
        <v>1985</v>
      </c>
      <c r="C851">
        <v>31.391900788314267</v>
      </c>
    </row>
    <row r="852" spans="1:3" x14ac:dyDescent="0.35">
      <c r="A852" t="s">
        <v>19</v>
      </c>
      <c r="B852">
        <v>1986</v>
      </c>
      <c r="C852">
        <v>30.6041492001508</v>
      </c>
    </row>
    <row r="853" spans="1:3" x14ac:dyDescent="0.35">
      <c r="A853" t="s">
        <v>19</v>
      </c>
      <c r="B853">
        <v>1987</v>
      </c>
      <c r="C853">
        <v>30.817967488366598</v>
      </c>
    </row>
    <row r="854" spans="1:3" x14ac:dyDescent="0.35">
      <c r="A854" t="s">
        <v>19</v>
      </c>
      <c r="B854">
        <v>1988</v>
      </c>
      <c r="C854">
        <v>31.05991976187395</v>
      </c>
    </row>
    <row r="855" spans="1:3" x14ac:dyDescent="0.35">
      <c r="A855" t="s">
        <v>19</v>
      </c>
      <c r="B855">
        <v>1989</v>
      </c>
      <c r="C855">
        <v>31.0880537471655</v>
      </c>
    </row>
    <row r="856" spans="1:3" x14ac:dyDescent="0.35">
      <c r="A856" t="s">
        <v>19</v>
      </c>
      <c r="B856">
        <v>1990</v>
      </c>
      <c r="C856">
        <v>31.116187732457053</v>
      </c>
    </row>
    <row r="857" spans="1:3" x14ac:dyDescent="0.35">
      <c r="A857" t="s">
        <v>19</v>
      </c>
      <c r="B857">
        <v>1991</v>
      </c>
      <c r="C857">
        <v>31.774522988279379</v>
      </c>
    </row>
    <row r="858" spans="1:3" x14ac:dyDescent="0.35">
      <c r="A858" t="s">
        <v>19</v>
      </c>
      <c r="B858">
        <v>1992</v>
      </c>
      <c r="C858">
        <v>33.625739220463537</v>
      </c>
    </row>
    <row r="859" spans="1:3" x14ac:dyDescent="0.35">
      <c r="A859" t="s">
        <v>19</v>
      </c>
      <c r="B859">
        <v>1993</v>
      </c>
      <c r="C859">
        <v>31.065546558932258</v>
      </c>
    </row>
    <row r="860" spans="1:3" x14ac:dyDescent="0.35">
      <c r="A860" t="s">
        <v>19</v>
      </c>
      <c r="B860">
        <v>1994</v>
      </c>
      <c r="C860">
        <v>30.711058344258696</v>
      </c>
    </row>
    <row r="861" spans="1:3" x14ac:dyDescent="0.35">
      <c r="A861" t="s">
        <v>19</v>
      </c>
      <c r="B861">
        <v>1995</v>
      </c>
      <c r="C861">
        <v>29.608206120829838</v>
      </c>
    </row>
    <row r="862" spans="1:3" x14ac:dyDescent="0.35">
      <c r="A862" t="s">
        <v>19</v>
      </c>
      <c r="B862">
        <v>1996</v>
      </c>
      <c r="C862">
        <v>24.527208377175462</v>
      </c>
    </row>
    <row r="863" spans="1:3" x14ac:dyDescent="0.35">
      <c r="A863" t="s">
        <v>19</v>
      </c>
      <c r="B863">
        <v>1997</v>
      </c>
      <c r="C863">
        <v>26.552855318167239</v>
      </c>
    </row>
    <row r="864" spans="1:3" x14ac:dyDescent="0.35">
      <c r="A864" t="s">
        <v>19</v>
      </c>
      <c r="B864">
        <v>1998</v>
      </c>
      <c r="C864">
        <v>26.704778838741621</v>
      </c>
    </row>
    <row r="865" spans="1:3" x14ac:dyDescent="0.35">
      <c r="A865" t="s">
        <v>19</v>
      </c>
      <c r="B865">
        <v>1999</v>
      </c>
      <c r="C865">
        <v>26.779052559911321</v>
      </c>
    </row>
    <row r="866" spans="1:3" x14ac:dyDescent="0.35">
      <c r="A866" t="s">
        <v>19</v>
      </c>
      <c r="B866">
        <v>2000</v>
      </c>
      <c r="C866">
        <v>26.025061754097717</v>
      </c>
    </row>
    <row r="867" spans="1:3" x14ac:dyDescent="0.35">
      <c r="A867" t="s">
        <v>19</v>
      </c>
      <c r="B867">
        <v>2001</v>
      </c>
      <c r="C867">
        <v>26.048131622036788</v>
      </c>
    </row>
    <row r="868" spans="1:3" x14ac:dyDescent="0.35">
      <c r="A868" t="s">
        <v>19</v>
      </c>
      <c r="B868">
        <v>2002</v>
      </c>
      <c r="C868">
        <v>33.250994536380055</v>
      </c>
    </row>
    <row r="869" spans="1:3" x14ac:dyDescent="0.35">
      <c r="A869" t="s">
        <v>19</v>
      </c>
      <c r="B869">
        <v>2003</v>
      </c>
      <c r="C869">
        <v>41.763775805898014</v>
      </c>
    </row>
    <row r="870" spans="1:3" x14ac:dyDescent="0.35">
      <c r="A870" t="s">
        <v>19</v>
      </c>
      <c r="B870">
        <v>2004</v>
      </c>
      <c r="C870">
        <v>37.355742990417561</v>
      </c>
    </row>
    <row r="871" spans="1:3" x14ac:dyDescent="0.35">
      <c r="A871" t="s">
        <v>19</v>
      </c>
      <c r="B871">
        <v>2005</v>
      </c>
      <c r="C871">
        <v>44.847260593852162</v>
      </c>
    </row>
    <row r="872" spans="1:3" x14ac:dyDescent="0.35">
      <c r="A872" t="s">
        <v>19</v>
      </c>
      <c r="B872">
        <v>2006</v>
      </c>
      <c r="C872">
        <v>49.515814113132379</v>
      </c>
    </row>
    <row r="873" spans="1:3" x14ac:dyDescent="0.35">
      <c r="A873" t="s">
        <v>19</v>
      </c>
      <c r="B873">
        <v>2007</v>
      </c>
      <c r="C873">
        <v>34.518711913617409</v>
      </c>
    </row>
    <row r="874" spans="1:3" x14ac:dyDescent="0.35">
      <c r="A874" t="s">
        <v>19</v>
      </c>
      <c r="B874">
        <v>2008</v>
      </c>
      <c r="C874">
        <v>36.274835275516118</v>
      </c>
    </row>
    <row r="875" spans="1:3" x14ac:dyDescent="0.35">
      <c r="A875" t="s">
        <v>20</v>
      </c>
      <c r="B875">
        <v>1994</v>
      </c>
      <c r="C875">
        <v>2.379301339145</v>
      </c>
    </row>
    <row r="876" spans="1:3" x14ac:dyDescent="0.35">
      <c r="A876" t="s">
        <v>20</v>
      </c>
      <c r="B876">
        <v>1995</v>
      </c>
      <c r="C876">
        <v>3.4478751793055369</v>
      </c>
    </row>
    <row r="877" spans="1:3" x14ac:dyDescent="0.35">
      <c r="A877" t="s">
        <v>20</v>
      </c>
      <c r="B877">
        <v>2007</v>
      </c>
      <c r="C877">
        <v>196.31437173850904</v>
      </c>
    </row>
    <row r="878" spans="1:3" x14ac:dyDescent="0.35">
      <c r="A878" t="s">
        <v>20</v>
      </c>
      <c r="B878">
        <v>2008</v>
      </c>
      <c r="C878">
        <v>292.75465883587725</v>
      </c>
    </row>
    <row r="879" spans="1:3" x14ac:dyDescent="0.35">
      <c r="A879" t="s">
        <v>20</v>
      </c>
      <c r="B879">
        <v>2009</v>
      </c>
      <c r="C879">
        <v>371.92758785732741</v>
      </c>
    </row>
    <row r="880" spans="1:3" x14ac:dyDescent="0.35">
      <c r="A880" t="s">
        <v>20</v>
      </c>
      <c r="B880">
        <v>2014</v>
      </c>
      <c r="C880">
        <v>166.54027052149743</v>
      </c>
    </row>
    <row r="881" spans="1:3" x14ac:dyDescent="0.35">
      <c r="A881" t="s">
        <v>20</v>
      </c>
      <c r="B881">
        <v>2015</v>
      </c>
      <c r="C881">
        <v>137.26265956547465</v>
      </c>
    </row>
    <row r="882" spans="1:3" x14ac:dyDescent="0.35">
      <c r="A882" t="s">
        <v>20</v>
      </c>
      <c r="B882">
        <v>2016</v>
      </c>
      <c r="C882">
        <v>139.20081764180193</v>
      </c>
    </row>
    <row r="883" spans="1:3" x14ac:dyDescent="0.35">
      <c r="A883" t="s">
        <v>20</v>
      </c>
      <c r="B883">
        <v>2017</v>
      </c>
      <c r="C883">
        <v>136.21036138833068</v>
      </c>
    </row>
    <row r="884" spans="1:3" x14ac:dyDescent="0.35">
      <c r="A884" t="s">
        <v>20</v>
      </c>
      <c r="B884">
        <v>2018</v>
      </c>
      <c r="C884">
        <v>149.49869004433694</v>
      </c>
    </row>
    <row r="885" spans="1:3" x14ac:dyDescent="0.35">
      <c r="A885" t="s">
        <v>20</v>
      </c>
      <c r="B885">
        <v>2019</v>
      </c>
      <c r="C885">
        <v>148.63693302250331</v>
      </c>
    </row>
    <row r="886" spans="1:3" x14ac:dyDescent="0.35">
      <c r="A886" t="s">
        <v>20</v>
      </c>
      <c r="B886">
        <v>2020</v>
      </c>
      <c r="C886">
        <v>162.37336438041947</v>
      </c>
    </row>
    <row r="887" spans="1:3" x14ac:dyDescent="0.35">
      <c r="A887" t="s">
        <v>20</v>
      </c>
      <c r="B887">
        <v>2021</v>
      </c>
      <c r="C887">
        <v>162.8071326712182</v>
      </c>
    </row>
    <row r="888" spans="1:3" x14ac:dyDescent="0.35">
      <c r="A888" t="s">
        <v>20</v>
      </c>
      <c r="B888">
        <v>2022</v>
      </c>
      <c r="C888">
        <v>156.79163491983198</v>
      </c>
    </row>
    <row r="889" spans="1:3" x14ac:dyDescent="0.35">
      <c r="A889" t="s">
        <v>20</v>
      </c>
      <c r="B889">
        <v>2023</v>
      </c>
      <c r="C889">
        <v>162.19239415267501</v>
      </c>
    </row>
    <row r="890" spans="1:3" x14ac:dyDescent="0.35">
      <c r="A890" t="s">
        <v>20</v>
      </c>
      <c r="B890">
        <v>2024</v>
      </c>
      <c r="C890">
        <v>114.53473833118764</v>
      </c>
    </row>
    <row r="891" spans="1:3" x14ac:dyDescent="0.35">
      <c r="A891" t="s">
        <v>20</v>
      </c>
      <c r="B891">
        <v>2025</v>
      </c>
      <c r="C891">
        <v>120.73106555685492</v>
      </c>
    </row>
    <row r="892" spans="1:3" x14ac:dyDescent="0.35">
      <c r="A892" t="s">
        <v>21</v>
      </c>
      <c r="B892">
        <v>1993</v>
      </c>
      <c r="C892">
        <v>107.73764923322844</v>
      </c>
    </row>
    <row r="893" spans="1:3" x14ac:dyDescent="0.35">
      <c r="A893" t="s">
        <v>21</v>
      </c>
      <c r="B893">
        <v>1994</v>
      </c>
      <c r="C893">
        <v>80.198311210396724</v>
      </c>
    </row>
    <row r="894" spans="1:3" x14ac:dyDescent="0.35">
      <c r="A894" t="s">
        <v>21</v>
      </c>
      <c r="B894">
        <v>1995</v>
      </c>
      <c r="C894">
        <v>124.99634987946492</v>
      </c>
    </row>
    <row r="895" spans="1:3" x14ac:dyDescent="0.35">
      <c r="A895" t="s">
        <v>21</v>
      </c>
      <c r="B895">
        <v>1996</v>
      </c>
      <c r="C895">
        <v>152.27180856000038</v>
      </c>
    </row>
    <row r="896" spans="1:3" x14ac:dyDescent="0.35">
      <c r="A896" t="s">
        <v>21</v>
      </c>
      <c r="B896">
        <v>1997</v>
      </c>
      <c r="C896">
        <v>92.756319408184837</v>
      </c>
    </row>
    <row r="897" spans="1:3" x14ac:dyDescent="0.35">
      <c r="A897" t="s">
        <v>21</v>
      </c>
      <c r="B897">
        <v>1998</v>
      </c>
      <c r="C897">
        <v>263.00168569926632</v>
      </c>
    </row>
    <row r="898" spans="1:3" x14ac:dyDescent="0.35">
      <c r="A898" t="s">
        <v>21</v>
      </c>
      <c r="B898">
        <v>1999</v>
      </c>
      <c r="C898">
        <v>272.85673457522296</v>
      </c>
    </row>
    <row r="899" spans="1:3" x14ac:dyDescent="0.35">
      <c r="A899" t="s">
        <v>21</v>
      </c>
      <c r="B899">
        <v>2000</v>
      </c>
      <c r="C899">
        <v>230.67012987012987</v>
      </c>
    </row>
    <row r="900" spans="1:3" x14ac:dyDescent="0.35">
      <c r="A900" t="s">
        <v>21</v>
      </c>
      <c r="B900">
        <v>2001</v>
      </c>
      <c r="C900">
        <v>166.55024536893762</v>
      </c>
    </row>
    <row r="901" spans="1:3" x14ac:dyDescent="0.35">
      <c r="A901" t="s">
        <v>21</v>
      </c>
      <c r="B901">
        <v>2002</v>
      </c>
      <c r="C901">
        <v>150.76442521241995</v>
      </c>
    </row>
    <row r="902" spans="1:3" x14ac:dyDescent="0.35">
      <c r="A902" t="s">
        <v>21</v>
      </c>
      <c r="B902">
        <v>2003</v>
      </c>
      <c r="C902">
        <v>181.58366899891195</v>
      </c>
    </row>
    <row r="903" spans="1:3" x14ac:dyDescent="0.35">
      <c r="A903" t="s">
        <v>22</v>
      </c>
      <c r="B903">
        <v>1957</v>
      </c>
      <c r="C903">
        <v>15.073637435750886</v>
      </c>
    </row>
    <row r="904" spans="1:3" x14ac:dyDescent="0.35">
      <c r="A904" t="s">
        <v>22</v>
      </c>
      <c r="B904">
        <v>1958</v>
      </c>
      <c r="C904">
        <v>16.20063836552665</v>
      </c>
    </row>
    <row r="905" spans="1:3" x14ac:dyDescent="0.35">
      <c r="A905" t="s">
        <v>22</v>
      </c>
      <c r="B905">
        <v>1959</v>
      </c>
      <c r="C905">
        <v>15.194387535369717</v>
      </c>
    </row>
    <row r="906" spans="1:3" x14ac:dyDescent="0.35">
      <c r="A906" t="s">
        <v>22</v>
      </c>
      <c r="B906">
        <v>1960</v>
      </c>
      <c r="C906">
        <v>15.335262651591689</v>
      </c>
    </row>
    <row r="907" spans="1:3" x14ac:dyDescent="0.35">
      <c r="A907" t="s">
        <v>22</v>
      </c>
      <c r="B907">
        <v>1961</v>
      </c>
      <c r="C907">
        <v>18.55526530809388</v>
      </c>
    </row>
    <row r="908" spans="1:3" x14ac:dyDescent="0.35">
      <c r="A908" t="s">
        <v>22</v>
      </c>
      <c r="B908">
        <v>1962</v>
      </c>
      <c r="C908">
        <v>20.185391652948116</v>
      </c>
    </row>
    <row r="909" spans="1:3" x14ac:dyDescent="0.35">
      <c r="A909" t="s">
        <v>22</v>
      </c>
      <c r="B909">
        <v>1963</v>
      </c>
      <c r="C909">
        <v>27.289522513856074</v>
      </c>
    </row>
    <row r="910" spans="1:3" x14ac:dyDescent="0.35">
      <c r="A910" t="s">
        <v>22</v>
      </c>
      <c r="B910">
        <v>1964</v>
      </c>
      <c r="C910">
        <v>36.14</v>
      </c>
    </row>
    <row r="911" spans="1:3" x14ac:dyDescent="0.35">
      <c r="A911" t="s">
        <v>22</v>
      </c>
      <c r="B911">
        <v>1965</v>
      </c>
      <c r="C911">
        <v>42.9</v>
      </c>
    </row>
    <row r="912" spans="1:3" x14ac:dyDescent="0.35">
      <c r="A912" t="s">
        <v>22</v>
      </c>
      <c r="B912">
        <v>1966</v>
      </c>
      <c r="C912">
        <v>43.42</v>
      </c>
    </row>
    <row r="913" spans="1:3" x14ac:dyDescent="0.35">
      <c r="A913" t="s">
        <v>22</v>
      </c>
      <c r="B913">
        <v>1967</v>
      </c>
      <c r="C913">
        <v>37</v>
      </c>
    </row>
    <row r="914" spans="1:3" x14ac:dyDescent="0.35">
      <c r="A914" t="s">
        <v>22</v>
      </c>
      <c r="B914">
        <v>1968</v>
      </c>
      <c r="C914">
        <v>34.659999999999997</v>
      </c>
    </row>
    <row r="915" spans="1:3" x14ac:dyDescent="0.35">
      <c r="A915" t="s">
        <v>22</v>
      </c>
      <c r="B915">
        <v>1969</v>
      </c>
      <c r="C915">
        <v>34.42</v>
      </c>
    </row>
    <row r="916" spans="1:3" x14ac:dyDescent="0.35">
      <c r="A916" t="s">
        <v>22</v>
      </c>
      <c r="B916">
        <v>1970</v>
      </c>
      <c r="C916">
        <v>34.54</v>
      </c>
    </row>
    <row r="917" spans="1:3" x14ac:dyDescent="0.35">
      <c r="A917" t="s">
        <v>22</v>
      </c>
      <c r="B917">
        <v>1971</v>
      </c>
      <c r="C917">
        <v>36.134238092946404</v>
      </c>
    </row>
    <row r="918" spans="1:3" x14ac:dyDescent="0.35">
      <c r="A918" t="s">
        <v>22</v>
      </c>
      <c r="B918">
        <v>1972</v>
      </c>
      <c r="C918">
        <v>41.04347826086957</v>
      </c>
    </row>
    <row r="919" spans="1:3" x14ac:dyDescent="0.35">
      <c r="A919" t="s">
        <v>22</v>
      </c>
      <c r="B919">
        <v>1973</v>
      </c>
      <c r="C919">
        <v>48.433591423466353</v>
      </c>
    </row>
    <row r="920" spans="1:3" x14ac:dyDescent="0.35">
      <c r="A920" t="s">
        <v>22</v>
      </c>
      <c r="B920">
        <v>1974</v>
      </c>
      <c r="C920">
        <v>74.758454106280197</v>
      </c>
    </row>
    <row r="921" spans="1:3" x14ac:dyDescent="0.35">
      <c r="A921" t="s">
        <v>22</v>
      </c>
      <c r="B921">
        <v>1975</v>
      </c>
      <c r="C921">
        <v>125.07246376811595</v>
      </c>
    </row>
    <row r="922" spans="1:3" x14ac:dyDescent="0.35">
      <c r="A922" t="s">
        <v>22</v>
      </c>
      <c r="B922">
        <v>1976</v>
      </c>
      <c r="C922">
        <v>128.04347826086959</v>
      </c>
    </row>
    <row r="923" spans="1:3" x14ac:dyDescent="0.35">
      <c r="A923" t="s">
        <v>22</v>
      </c>
      <c r="B923">
        <v>1977</v>
      </c>
      <c r="C923">
        <v>135.04830917874395</v>
      </c>
    </row>
    <row r="924" spans="1:3" x14ac:dyDescent="0.35">
      <c r="A924" t="s">
        <v>22</v>
      </c>
      <c r="B924">
        <v>1978</v>
      </c>
      <c r="C924">
        <v>178.21256038647346</v>
      </c>
    </row>
    <row r="925" spans="1:3" x14ac:dyDescent="0.35">
      <c r="A925" t="s">
        <v>22</v>
      </c>
      <c r="B925">
        <v>1979</v>
      </c>
      <c r="C925">
        <v>276.32850241545896</v>
      </c>
    </row>
    <row r="926" spans="1:3" x14ac:dyDescent="0.35">
      <c r="A926" t="s">
        <v>22</v>
      </c>
      <c r="B926">
        <v>1980</v>
      </c>
      <c r="C926">
        <v>359.3236714975846</v>
      </c>
    </row>
    <row r="927" spans="1:3" x14ac:dyDescent="0.35">
      <c r="A927" t="s">
        <v>22</v>
      </c>
      <c r="B927">
        <v>1981</v>
      </c>
      <c r="C927">
        <v>366.9806763285024</v>
      </c>
    </row>
    <row r="928" spans="1:3" x14ac:dyDescent="0.35">
      <c r="A928" t="s">
        <v>22</v>
      </c>
      <c r="B928">
        <v>1982</v>
      </c>
      <c r="C928">
        <v>387.36714975845416</v>
      </c>
    </row>
    <row r="929" spans="1:3" x14ac:dyDescent="0.35">
      <c r="A929" t="s">
        <v>22</v>
      </c>
      <c r="B929">
        <v>1983</v>
      </c>
      <c r="C929">
        <v>408.40579710144931</v>
      </c>
    </row>
    <row r="930" spans="1:3" x14ac:dyDescent="0.35">
      <c r="A930" t="s">
        <v>22</v>
      </c>
      <c r="B930">
        <v>1984</v>
      </c>
      <c r="C930">
        <v>423.01932367149766</v>
      </c>
    </row>
    <row r="931" spans="1:3" x14ac:dyDescent="0.35">
      <c r="A931" t="s">
        <v>22</v>
      </c>
      <c r="B931">
        <v>1985</v>
      </c>
      <c r="C931">
        <v>429.44444444444446</v>
      </c>
    </row>
    <row r="932" spans="1:3" x14ac:dyDescent="0.35">
      <c r="A932" t="s">
        <v>22</v>
      </c>
      <c r="B932">
        <v>1986</v>
      </c>
      <c r="C932">
        <v>439.20289855072468</v>
      </c>
    </row>
    <row r="933" spans="1:3" x14ac:dyDescent="0.35">
      <c r="A933" t="s">
        <v>22</v>
      </c>
      <c r="B933">
        <v>1987</v>
      </c>
      <c r="C933">
        <v>476.61835748792271</v>
      </c>
    </row>
    <row r="934" spans="1:3" x14ac:dyDescent="0.35">
      <c r="A934" t="s">
        <v>22</v>
      </c>
      <c r="B934">
        <v>1988</v>
      </c>
      <c r="C934">
        <v>614.85507246376812</v>
      </c>
    </row>
    <row r="935" spans="1:3" x14ac:dyDescent="0.35">
      <c r="A935" t="s">
        <v>22</v>
      </c>
      <c r="B935">
        <v>1989</v>
      </c>
      <c r="C935">
        <v>781.52173913043487</v>
      </c>
    </row>
    <row r="936" spans="1:3" x14ac:dyDescent="0.35">
      <c r="A936" t="s">
        <v>22</v>
      </c>
      <c r="B936">
        <v>1990</v>
      </c>
      <c r="C936">
        <v>785.04830917874403</v>
      </c>
    </row>
    <row r="937" spans="1:3" x14ac:dyDescent="0.35">
      <c r="A937" t="s">
        <v>22</v>
      </c>
      <c r="B937">
        <v>1991</v>
      </c>
      <c r="C937">
        <v>529.03381642512079</v>
      </c>
    </row>
    <row r="938" spans="1:3" x14ac:dyDescent="0.35">
      <c r="A938" t="s">
        <v>22</v>
      </c>
      <c r="B938">
        <v>1992</v>
      </c>
      <c r="C938">
        <v>255.34344335414806</v>
      </c>
    </row>
    <row r="939" spans="1:3" x14ac:dyDescent="0.35">
      <c r="A939" t="s">
        <v>22</v>
      </c>
      <c r="B939">
        <v>1993</v>
      </c>
      <c r="C939">
        <v>163.85</v>
      </c>
    </row>
    <row r="940" spans="1:3" x14ac:dyDescent="0.35">
      <c r="A940" t="s">
        <v>22</v>
      </c>
      <c r="B940">
        <v>1994</v>
      </c>
      <c r="C940">
        <v>148.69167429094236</v>
      </c>
    </row>
    <row r="941" spans="1:3" x14ac:dyDescent="0.35">
      <c r="A941" t="s">
        <v>22</v>
      </c>
      <c r="B941">
        <v>1995</v>
      </c>
      <c r="C941">
        <v>122.46008119079845</v>
      </c>
    </row>
    <row r="942" spans="1:3" x14ac:dyDescent="0.35">
      <c r="A942" t="s">
        <v>22</v>
      </c>
      <c r="B942">
        <v>1996</v>
      </c>
      <c r="C942">
        <v>126.4548327803296</v>
      </c>
    </row>
    <row r="943" spans="1:3" x14ac:dyDescent="0.35">
      <c r="A943" t="s">
        <v>22</v>
      </c>
      <c r="B943">
        <v>1997</v>
      </c>
      <c r="C943">
        <v>225.41704911435696</v>
      </c>
    </row>
    <row r="944" spans="1:3" x14ac:dyDescent="0.35">
      <c r="A944" t="s">
        <v>22</v>
      </c>
      <c r="B944">
        <v>1998</v>
      </c>
      <c r="C944">
        <v>458.55003284893377</v>
      </c>
    </row>
    <row r="945" spans="1:3" x14ac:dyDescent="0.35">
      <c r="A945" t="s">
        <v>22</v>
      </c>
      <c r="B945">
        <v>1999</v>
      </c>
      <c r="C945">
        <v>703.70486952689726</v>
      </c>
    </row>
    <row r="946" spans="1:3" x14ac:dyDescent="0.35">
      <c r="A946" t="s">
        <v>22</v>
      </c>
      <c r="B946">
        <v>2000</v>
      </c>
      <c r="C946">
        <v>617.54173888087189</v>
      </c>
    </row>
    <row r="947" spans="1:3" x14ac:dyDescent="0.35">
      <c r="A947" t="s">
        <v>22</v>
      </c>
      <c r="B947">
        <v>2001</v>
      </c>
      <c r="C947">
        <v>349.80820751621616</v>
      </c>
    </row>
    <row r="948" spans="1:3" x14ac:dyDescent="0.35">
      <c r="A948" t="s">
        <v>22</v>
      </c>
      <c r="B948">
        <v>2002</v>
      </c>
      <c r="C948">
        <v>288.93233345977683</v>
      </c>
    </row>
    <row r="949" spans="1:3" x14ac:dyDescent="0.35">
      <c r="A949" t="s">
        <v>22</v>
      </c>
      <c r="B949">
        <v>2003</v>
      </c>
      <c r="C949">
        <v>278.6730519147024</v>
      </c>
    </row>
    <row r="950" spans="1:3" x14ac:dyDescent="0.35">
      <c r="A950" t="s">
        <v>22</v>
      </c>
      <c r="B950">
        <v>2004</v>
      </c>
      <c r="C950">
        <v>311.03862892875424</v>
      </c>
    </row>
    <row r="951" spans="1:3" x14ac:dyDescent="0.35">
      <c r="A951" t="s">
        <v>22</v>
      </c>
      <c r="B951">
        <v>2005</v>
      </c>
      <c r="C951">
        <v>342.06657288218088</v>
      </c>
    </row>
    <row r="952" spans="1:3" x14ac:dyDescent="0.35">
      <c r="A952" t="s">
        <v>22</v>
      </c>
      <c r="B952">
        <v>2006</v>
      </c>
      <c r="C952">
        <v>345.6871826063516</v>
      </c>
    </row>
    <row r="953" spans="1:3" x14ac:dyDescent="0.35">
      <c r="A953" t="s">
        <v>22</v>
      </c>
      <c r="B953">
        <v>2007</v>
      </c>
      <c r="C953">
        <v>362.76133594320737</v>
      </c>
    </row>
    <row r="954" spans="1:3" x14ac:dyDescent="0.35">
      <c r="A954" t="s">
        <v>22</v>
      </c>
      <c r="B954">
        <v>2008</v>
      </c>
      <c r="C954">
        <v>390.63551189311545</v>
      </c>
    </row>
    <row r="955" spans="1:3" x14ac:dyDescent="0.35">
      <c r="A955" t="s">
        <v>22</v>
      </c>
      <c r="B955">
        <v>2009</v>
      </c>
      <c r="C955">
        <v>339.62777741034648</v>
      </c>
    </row>
    <row r="956" spans="1:3" x14ac:dyDescent="0.35">
      <c r="A956" t="s">
        <v>22</v>
      </c>
      <c r="B956">
        <v>2010</v>
      </c>
      <c r="C956">
        <v>291.4725579257173</v>
      </c>
    </row>
    <row r="957" spans="1:3" x14ac:dyDescent="0.35">
      <c r="A957" t="s">
        <v>22</v>
      </c>
      <c r="B957">
        <v>2011</v>
      </c>
      <c r="C957">
        <v>322.49998180699976</v>
      </c>
    </row>
    <row r="958" spans="1:3" x14ac:dyDescent="0.35">
      <c r="A958" t="s">
        <v>22</v>
      </c>
      <c r="B958">
        <v>2012</v>
      </c>
      <c r="C958">
        <v>367.13287805046343</v>
      </c>
    </row>
    <row r="959" spans="1:3" x14ac:dyDescent="0.35">
      <c r="A959" t="s">
        <v>22</v>
      </c>
      <c r="B959">
        <v>2013</v>
      </c>
      <c r="C959">
        <v>375.51078168471912</v>
      </c>
    </row>
    <row r="960" spans="1:3" x14ac:dyDescent="0.35">
      <c r="A960" t="s">
        <v>22</v>
      </c>
      <c r="B960">
        <v>2014</v>
      </c>
      <c r="C960">
        <v>395.41422819803284</v>
      </c>
    </row>
    <row r="961" spans="1:3" x14ac:dyDescent="0.35">
      <c r="A961" t="s">
        <v>22</v>
      </c>
      <c r="B961">
        <v>2015</v>
      </c>
      <c r="C961">
        <v>425.23518087287295</v>
      </c>
    </row>
    <row r="962" spans="1:3" x14ac:dyDescent="0.35">
      <c r="A962" t="s">
        <v>22</v>
      </c>
      <c r="B962">
        <v>2016</v>
      </c>
      <c r="C962">
        <v>493.29207397796159</v>
      </c>
    </row>
    <row r="963" spans="1:3" x14ac:dyDescent="0.35">
      <c r="A963" t="s">
        <v>22</v>
      </c>
      <c r="B963">
        <v>2017</v>
      </c>
      <c r="C963">
        <v>518.6016017857437</v>
      </c>
    </row>
    <row r="964" spans="1:3" x14ac:dyDescent="0.35">
      <c r="A964" t="s">
        <v>22</v>
      </c>
      <c r="B964">
        <v>2018</v>
      </c>
      <c r="C964">
        <v>507.01097351399017</v>
      </c>
    </row>
    <row r="965" spans="1:3" x14ac:dyDescent="0.35">
      <c r="A965" t="s">
        <v>22</v>
      </c>
      <c r="B965">
        <v>2019</v>
      </c>
      <c r="C965">
        <v>516.0003096001858</v>
      </c>
    </row>
    <row r="966" spans="1:3" x14ac:dyDescent="0.35">
      <c r="A966" t="s">
        <v>22</v>
      </c>
      <c r="B966">
        <v>2020</v>
      </c>
      <c r="C966">
        <v>450.93839759976709</v>
      </c>
    </row>
    <row r="967" spans="1:3" x14ac:dyDescent="0.35">
      <c r="A967" t="s">
        <v>22</v>
      </c>
      <c r="B967">
        <v>2021</v>
      </c>
      <c r="C967">
        <v>440.16320427790077</v>
      </c>
    </row>
    <row r="968" spans="1:3" x14ac:dyDescent="0.35">
      <c r="A968" t="s">
        <v>22</v>
      </c>
      <c r="B968">
        <v>2022</v>
      </c>
      <c r="C968">
        <v>1024.0316059777563</v>
      </c>
    </row>
    <row r="969" spans="1:3" x14ac:dyDescent="0.35">
      <c r="A969" t="s">
        <v>22</v>
      </c>
      <c r="B969">
        <v>2023</v>
      </c>
      <c r="C969">
        <v>1227.0849201552187</v>
      </c>
    </row>
    <row r="970" spans="1:3" x14ac:dyDescent="0.35">
      <c r="A970" t="s">
        <v>22</v>
      </c>
      <c r="B970">
        <v>2024</v>
      </c>
      <c r="C970">
        <v>700.35186542918871</v>
      </c>
    </row>
    <row r="971" spans="1:3" x14ac:dyDescent="0.35">
      <c r="A971" t="s">
        <v>22</v>
      </c>
      <c r="B971">
        <v>2025</v>
      </c>
      <c r="C971">
        <v>528.11120631926087</v>
      </c>
    </row>
    <row r="972" spans="1:3" x14ac:dyDescent="0.35">
      <c r="A972" t="s">
        <v>23</v>
      </c>
      <c r="B972">
        <v>1967</v>
      </c>
      <c r="C972">
        <v>3.0081178531794586</v>
      </c>
    </row>
    <row r="973" spans="1:3" x14ac:dyDescent="0.35">
      <c r="A973" t="s">
        <v>23</v>
      </c>
      <c r="B973">
        <v>1968</v>
      </c>
      <c r="C973">
        <v>2.989113970068467</v>
      </c>
    </row>
    <row r="974" spans="1:3" x14ac:dyDescent="0.35">
      <c r="A974" t="s">
        <v>23</v>
      </c>
      <c r="B974">
        <v>1969</v>
      </c>
      <c r="C974">
        <v>4.3506525978896828</v>
      </c>
    </row>
    <row r="975" spans="1:3" x14ac:dyDescent="0.35">
      <c r="A975" t="s">
        <v>23</v>
      </c>
      <c r="B975">
        <v>1970</v>
      </c>
      <c r="C975">
        <v>4.6381551575055262</v>
      </c>
    </row>
    <row r="976" spans="1:3" x14ac:dyDescent="0.35">
      <c r="A976" t="s">
        <v>23</v>
      </c>
      <c r="B976">
        <v>1971</v>
      </c>
      <c r="C976">
        <v>5.4983366986737163</v>
      </c>
    </row>
    <row r="977" spans="1:3" x14ac:dyDescent="0.35">
      <c r="A977" t="s">
        <v>23</v>
      </c>
      <c r="B977">
        <v>1972</v>
      </c>
      <c r="C977">
        <v>6.6738616344215718</v>
      </c>
    </row>
    <row r="978" spans="1:3" x14ac:dyDescent="0.35">
      <c r="A978" t="s">
        <v>23</v>
      </c>
      <c r="B978">
        <v>1973</v>
      </c>
      <c r="C978">
        <v>9.4217300988384363</v>
      </c>
    </row>
    <row r="979" spans="1:3" x14ac:dyDescent="0.35">
      <c r="A979" t="s">
        <v>23</v>
      </c>
      <c r="B979">
        <v>1974</v>
      </c>
      <c r="C979">
        <v>10.494173365738144</v>
      </c>
    </row>
    <row r="980" spans="1:3" x14ac:dyDescent="0.35">
      <c r="A980" t="s">
        <v>23</v>
      </c>
      <c r="B980">
        <v>1975</v>
      </c>
      <c r="C980">
        <v>16.844521797557778</v>
      </c>
    </row>
    <row r="981" spans="1:3" x14ac:dyDescent="0.35">
      <c r="A981" t="s">
        <v>23</v>
      </c>
      <c r="B981">
        <v>1976</v>
      </c>
      <c r="C981">
        <v>20.117179326218878</v>
      </c>
    </row>
    <row r="982" spans="1:3" x14ac:dyDescent="0.35">
      <c r="A982" t="s">
        <v>23</v>
      </c>
      <c r="B982">
        <v>1977</v>
      </c>
      <c r="C982">
        <v>28.927873656789316</v>
      </c>
    </row>
    <row r="983" spans="1:3" x14ac:dyDescent="0.35">
      <c r="A983" t="s">
        <v>23</v>
      </c>
      <c r="B983">
        <v>1979</v>
      </c>
      <c r="C983">
        <v>56.88175176991566</v>
      </c>
    </row>
    <row r="984" spans="1:3" x14ac:dyDescent="0.35">
      <c r="A984" t="s">
        <v>23</v>
      </c>
      <c r="B984">
        <v>1980</v>
      </c>
      <c r="C984">
        <v>68.629307080651273</v>
      </c>
    </row>
    <row r="985" spans="1:3" x14ac:dyDescent="0.35">
      <c r="A985" t="s">
        <v>23</v>
      </c>
      <c r="B985">
        <v>1981</v>
      </c>
      <c r="C985">
        <v>88.322642613466996</v>
      </c>
    </row>
    <row r="986" spans="1:3" x14ac:dyDescent="0.35">
      <c r="A986" t="s">
        <v>23</v>
      </c>
      <c r="B986">
        <v>1982</v>
      </c>
      <c r="C986">
        <v>88.555899770545878</v>
      </c>
    </row>
    <row r="987" spans="1:3" x14ac:dyDescent="0.35">
      <c r="A987" t="s">
        <v>23</v>
      </c>
      <c r="B987">
        <v>1983</v>
      </c>
      <c r="C987">
        <v>86.59917179701155</v>
      </c>
    </row>
    <row r="988" spans="1:3" x14ac:dyDescent="0.35">
      <c r="A988" t="s">
        <v>23</v>
      </c>
      <c r="B988">
        <v>1984</v>
      </c>
      <c r="C988">
        <v>80.328270287465358</v>
      </c>
    </row>
    <row r="989" spans="1:3" x14ac:dyDescent="0.35">
      <c r="A989" t="s">
        <v>23</v>
      </c>
      <c r="B989">
        <v>1985</v>
      </c>
      <c r="C989">
        <v>95.489724281768147</v>
      </c>
    </row>
    <row r="990" spans="1:3" x14ac:dyDescent="0.35">
      <c r="A990" t="s">
        <v>23</v>
      </c>
      <c r="B990">
        <v>1986</v>
      </c>
      <c r="C990">
        <v>136.00688408517325</v>
      </c>
    </row>
    <row r="991" spans="1:3" x14ac:dyDescent="0.35">
      <c r="A991" t="s">
        <v>23</v>
      </c>
      <c r="B991">
        <v>2000</v>
      </c>
      <c r="C991">
        <v>91.295212198163981</v>
      </c>
    </row>
    <row r="992" spans="1:3" x14ac:dyDescent="0.35">
      <c r="A992" t="s">
        <v>23</v>
      </c>
      <c r="B992">
        <v>2001</v>
      </c>
      <c r="C992">
        <v>90.036137231443348</v>
      </c>
    </row>
    <row r="993" spans="1:3" x14ac:dyDescent="0.35">
      <c r="A993" t="s">
        <v>23</v>
      </c>
      <c r="B993">
        <v>2002</v>
      </c>
      <c r="C993">
        <v>94.693165449046461</v>
      </c>
    </row>
    <row r="994" spans="1:3" x14ac:dyDescent="0.35">
      <c r="A994" t="s">
        <v>23</v>
      </c>
      <c r="B994">
        <v>2003</v>
      </c>
      <c r="C994">
        <v>108.39642119752236</v>
      </c>
    </row>
    <row r="995" spans="1:3" x14ac:dyDescent="0.35">
      <c r="A995" t="s">
        <v>23</v>
      </c>
      <c r="B995">
        <v>2004</v>
      </c>
      <c r="C995">
        <v>125.12185657362976</v>
      </c>
    </row>
    <row r="996" spans="1:3" x14ac:dyDescent="0.35">
      <c r="A996" t="s">
        <v>23</v>
      </c>
      <c r="B996">
        <v>2005</v>
      </c>
      <c r="C996">
        <v>118.11143045644475</v>
      </c>
    </row>
    <row r="997" spans="1:3" x14ac:dyDescent="0.35">
      <c r="A997" t="s">
        <v>23</v>
      </c>
      <c r="B997">
        <v>2006</v>
      </c>
      <c r="C997">
        <v>130.23771730191817</v>
      </c>
    </row>
    <row r="998" spans="1:3" x14ac:dyDescent="0.35">
      <c r="A998" t="s">
        <v>23</v>
      </c>
      <c r="B998">
        <v>2010</v>
      </c>
      <c r="C998">
        <v>268.73850390791415</v>
      </c>
    </row>
    <row r="999" spans="1:3" x14ac:dyDescent="0.35">
      <c r="A999" t="s">
        <v>23</v>
      </c>
      <c r="B999">
        <v>2011</v>
      </c>
      <c r="C999">
        <v>265.96533761703535</v>
      </c>
    </row>
    <row r="1000" spans="1:3" x14ac:dyDescent="0.35">
      <c r="A1000" t="s">
        <v>23</v>
      </c>
      <c r="B1000">
        <v>2012</v>
      </c>
      <c r="C1000">
        <v>278.14395712665538</v>
      </c>
    </row>
    <row r="1001" spans="1:3" x14ac:dyDescent="0.35">
      <c r="A1001" t="s">
        <v>23</v>
      </c>
      <c r="B1001">
        <v>2013</v>
      </c>
      <c r="C1001">
        <v>282.163387579953</v>
      </c>
    </row>
    <row r="1002" spans="1:3" x14ac:dyDescent="0.35">
      <c r="A1002" t="s">
        <v>23</v>
      </c>
      <c r="B1002">
        <v>2014</v>
      </c>
      <c r="C1002">
        <v>208.12477333813558</v>
      </c>
    </row>
    <row r="1003" spans="1:3" x14ac:dyDescent="0.35">
      <c r="A1003" t="s">
        <v>23</v>
      </c>
      <c r="B1003">
        <v>2015</v>
      </c>
      <c r="C1003">
        <v>170.37450333925099</v>
      </c>
    </row>
    <row r="1004" spans="1:3" x14ac:dyDescent="0.35">
      <c r="A1004" t="s">
        <v>23</v>
      </c>
      <c r="B1004">
        <v>2016</v>
      </c>
      <c r="C1004">
        <v>202.81539068040226</v>
      </c>
    </row>
    <row r="1005" spans="1:3" x14ac:dyDescent="0.35">
      <c r="A1005" t="s">
        <v>23</v>
      </c>
      <c r="B1005">
        <v>2017</v>
      </c>
      <c r="C1005">
        <v>267.43077080282029</v>
      </c>
    </row>
    <row r="1006" spans="1:3" x14ac:dyDescent="0.35">
      <c r="A1006" t="s">
        <v>23</v>
      </c>
      <c r="B1006">
        <v>2018</v>
      </c>
      <c r="C1006">
        <v>261.21739505959579</v>
      </c>
    </row>
    <row r="1007" spans="1:3" x14ac:dyDescent="0.35">
      <c r="A1007" t="s">
        <v>23</v>
      </c>
      <c r="B1007">
        <v>2019</v>
      </c>
      <c r="C1007">
        <v>266.87919611985842</v>
      </c>
    </row>
    <row r="1008" spans="1:3" x14ac:dyDescent="0.35">
      <c r="A1008" t="s">
        <v>23</v>
      </c>
      <c r="B1008">
        <v>2020</v>
      </c>
      <c r="C1008">
        <v>263.47159712930301</v>
      </c>
    </row>
    <row r="1009" spans="1:3" x14ac:dyDescent="0.35">
      <c r="A1009" t="s">
        <v>23</v>
      </c>
      <c r="B1009">
        <v>2021</v>
      </c>
      <c r="C1009">
        <v>311.45492863542859</v>
      </c>
    </row>
    <row r="1010" spans="1:3" x14ac:dyDescent="0.35">
      <c r="A1010" t="s">
        <v>23</v>
      </c>
      <c r="B1010">
        <v>2022</v>
      </c>
      <c r="C1010">
        <v>277.67476899056862</v>
      </c>
    </row>
    <row r="1011" spans="1:3" x14ac:dyDescent="0.35">
      <c r="A1011" t="s">
        <v>23</v>
      </c>
      <c r="B1011">
        <v>2023</v>
      </c>
      <c r="C1011">
        <v>265.38580263187868</v>
      </c>
    </row>
    <row r="1012" spans="1:3" x14ac:dyDescent="0.35">
      <c r="A1012" t="s">
        <v>23</v>
      </c>
      <c r="B1012">
        <v>2024</v>
      </c>
      <c r="C1012">
        <v>319.12839229233941</v>
      </c>
    </row>
    <row r="1013" spans="1:3" x14ac:dyDescent="0.35">
      <c r="A1013" t="s">
        <v>23</v>
      </c>
      <c r="B1013">
        <v>2025</v>
      </c>
      <c r="C1013">
        <v>356.11199009424229</v>
      </c>
    </row>
    <row r="1014" spans="1:3" x14ac:dyDescent="0.35">
      <c r="A1014" t="s">
        <v>24</v>
      </c>
      <c r="B1014">
        <v>1983</v>
      </c>
      <c r="C1014">
        <v>0.72766688016615066</v>
      </c>
    </row>
    <row r="1015" spans="1:3" x14ac:dyDescent="0.35">
      <c r="A1015" t="s">
        <v>24</v>
      </c>
      <c r="B1015">
        <v>1984</v>
      </c>
      <c r="C1015">
        <v>0.84680502000524549</v>
      </c>
    </row>
    <row r="1016" spans="1:3" x14ac:dyDescent="0.35">
      <c r="A1016" t="s">
        <v>24</v>
      </c>
      <c r="B1016">
        <v>1985</v>
      </c>
      <c r="C1016">
        <v>1.2442634191691042</v>
      </c>
    </row>
    <row r="1017" spans="1:3" x14ac:dyDescent="0.35">
      <c r="A1017" t="s">
        <v>24</v>
      </c>
      <c r="B1017">
        <v>1986</v>
      </c>
      <c r="C1017">
        <v>1.0469359434048089</v>
      </c>
    </row>
    <row r="1018" spans="1:3" x14ac:dyDescent="0.35">
      <c r="A1018" t="s">
        <v>24</v>
      </c>
      <c r="B1018">
        <v>1987</v>
      </c>
      <c r="C1018">
        <v>1.3923442270722606</v>
      </c>
    </row>
    <row r="1019" spans="1:3" x14ac:dyDescent="0.35">
      <c r="A1019" t="s">
        <v>24</v>
      </c>
      <c r="B1019">
        <v>1988</v>
      </c>
      <c r="C1019">
        <v>2.1614617155126252</v>
      </c>
    </row>
    <row r="1020" spans="1:3" x14ac:dyDescent="0.35">
      <c r="A1020" t="s">
        <v>24</v>
      </c>
      <c r="B1020">
        <v>1989</v>
      </c>
      <c r="C1020">
        <v>2.7229872954863499</v>
      </c>
    </row>
    <row r="1021" spans="1:3" x14ac:dyDescent="0.35">
      <c r="A1021" t="s">
        <v>24</v>
      </c>
      <c r="B1021">
        <v>1990</v>
      </c>
      <c r="C1021">
        <v>3.464910152642823</v>
      </c>
    </row>
    <row r="1022" spans="1:3" x14ac:dyDescent="0.35">
      <c r="A1022" t="s">
        <v>24</v>
      </c>
      <c r="B1022">
        <v>1991</v>
      </c>
      <c r="C1022">
        <v>3.9962712888639564</v>
      </c>
    </row>
    <row r="1023" spans="1:3" x14ac:dyDescent="0.35">
      <c r="A1023" t="s">
        <v>24</v>
      </c>
      <c r="B1023">
        <v>1992</v>
      </c>
      <c r="C1023">
        <v>3.5016859582908637</v>
      </c>
    </row>
    <row r="1024" spans="1:3" x14ac:dyDescent="0.35">
      <c r="A1024" t="s">
        <v>24</v>
      </c>
      <c r="B1024">
        <v>1993</v>
      </c>
      <c r="C1024">
        <v>2.5563888158410002</v>
      </c>
    </row>
    <row r="1025" spans="1:3" x14ac:dyDescent="0.35">
      <c r="A1025" t="s">
        <v>24</v>
      </c>
      <c r="B1025">
        <v>1994</v>
      </c>
      <c r="C1025">
        <v>2.3168994638270202</v>
      </c>
    </row>
    <row r="1026" spans="1:3" x14ac:dyDescent="0.35">
      <c r="A1026" t="s">
        <v>24</v>
      </c>
      <c r="B1026">
        <v>1995</v>
      </c>
      <c r="C1026">
        <v>2.8865502499743125</v>
      </c>
    </row>
    <row r="1027" spans="1:3" x14ac:dyDescent="0.35">
      <c r="A1027" t="s">
        <v>24</v>
      </c>
      <c r="B1027">
        <v>1996</v>
      </c>
      <c r="C1027">
        <v>3.9297048398519729</v>
      </c>
    </row>
    <row r="1028" spans="1:3" x14ac:dyDescent="0.35">
      <c r="A1028" t="s">
        <v>24</v>
      </c>
      <c r="B1028">
        <v>1997</v>
      </c>
      <c r="C1028">
        <v>4.176402346366916</v>
      </c>
    </row>
    <row r="1029" spans="1:3" x14ac:dyDescent="0.35">
      <c r="A1029" t="s">
        <v>24</v>
      </c>
      <c r="B1029">
        <v>1998</v>
      </c>
      <c r="C1029">
        <v>4.0495720231887322</v>
      </c>
    </row>
    <row r="1030" spans="1:3" x14ac:dyDescent="0.35">
      <c r="A1030" t="s">
        <v>24</v>
      </c>
      <c r="B1030">
        <v>1999</v>
      </c>
      <c r="C1030">
        <v>3.5190590100562509</v>
      </c>
    </row>
    <row r="1031" spans="1:3" x14ac:dyDescent="0.35">
      <c r="A1031" t="s">
        <v>24</v>
      </c>
      <c r="B1031">
        <v>2000</v>
      </c>
      <c r="C1031">
        <v>3.3235256495206618</v>
      </c>
    </row>
    <row r="1032" spans="1:3" x14ac:dyDescent="0.35">
      <c r="A1032" t="s">
        <v>24</v>
      </c>
      <c r="B1032">
        <v>2001</v>
      </c>
      <c r="C1032">
        <v>2.4542367190998635</v>
      </c>
    </row>
    <row r="1033" spans="1:3" x14ac:dyDescent="0.35">
      <c r="A1033" t="s">
        <v>24</v>
      </c>
      <c r="B1033">
        <v>2002</v>
      </c>
      <c r="C1033">
        <v>2.2592828283208632</v>
      </c>
    </row>
    <row r="1034" spans="1:3" x14ac:dyDescent="0.35">
      <c r="A1034" t="s">
        <v>24</v>
      </c>
      <c r="B1034">
        <v>2003</v>
      </c>
      <c r="C1034">
        <v>1.9978613536795866</v>
      </c>
    </row>
    <row r="1035" spans="1:3" x14ac:dyDescent="0.35">
      <c r="A1035" t="s">
        <v>24</v>
      </c>
      <c r="B1035">
        <v>2004</v>
      </c>
      <c r="C1035">
        <v>1.931396571771087</v>
      </c>
    </row>
    <row r="1036" spans="1:3" x14ac:dyDescent="0.35">
      <c r="A1036" t="s">
        <v>24</v>
      </c>
      <c r="B1036">
        <v>2005</v>
      </c>
      <c r="C1036">
        <v>2.9850815910636559</v>
      </c>
    </row>
    <row r="1037" spans="1:3" x14ac:dyDescent="0.35">
      <c r="A1037" t="s">
        <v>24</v>
      </c>
      <c r="B1037">
        <v>2006</v>
      </c>
      <c r="C1037">
        <v>2.7863167618153457</v>
      </c>
    </row>
    <row r="1038" spans="1:3" x14ac:dyDescent="0.35">
      <c r="A1038" t="s">
        <v>24</v>
      </c>
      <c r="B1038">
        <v>2007</v>
      </c>
      <c r="C1038">
        <v>4.5470200468237261</v>
      </c>
    </row>
    <row r="1039" spans="1:3" x14ac:dyDescent="0.35">
      <c r="A1039" t="s">
        <v>24</v>
      </c>
      <c r="B1039">
        <v>2008</v>
      </c>
      <c r="C1039">
        <v>17.163572131838222</v>
      </c>
    </row>
    <row r="1040" spans="1:3" x14ac:dyDescent="0.35">
      <c r="A1040" t="s">
        <v>24</v>
      </c>
      <c r="B1040">
        <v>2009</v>
      </c>
      <c r="C1040">
        <v>7.0953099063218792</v>
      </c>
    </row>
    <row r="1041" spans="1:3" x14ac:dyDescent="0.35">
      <c r="A1041" t="s">
        <v>24</v>
      </c>
      <c r="B1041">
        <v>2012</v>
      </c>
      <c r="C1041">
        <v>11.173068056654888</v>
      </c>
    </row>
    <row r="1042" spans="1:3" x14ac:dyDescent="0.35">
      <c r="A1042" t="s">
        <v>24</v>
      </c>
      <c r="B1042">
        <v>2013</v>
      </c>
      <c r="C1042">
        <v>10.37889449370404</v>
      </c>
    </row>
    <row r="1043" spans="1:3" x14ac:dyDescent="0.35">
      <c r="A1043" t="s">
        <v>24</v>
      </c>
      <c r="B1043">
        <v>2014</v>
      </c>
      <c r="C1043">
        <v>14.599970284939412</v>
      </c>
    </row>
    <row r="1044" spans="1:3" x14ac:dyDescent="0.35">
      <c r="A1044" t="s">
        <v>24</v>
      </c>
      <c r="B1044">
        <v>2015</v>
      </c>
      <c r="C1044">
        <v>13.9038513789719</v>
      </c>
    </row>
    <row r="1045" spans="1:3" x14ac:dyDescent="0.35">
      <c r="A1045" t="s">
        <v>24</v>
      </c>
      <c r="B1045">
        <v>2018</v>
      </c>
      <c r="C1045">
        <v>11.477457171436782</v>
      </c>
    </row>
    <row r="1046" spans="1:3" x14ac:dyDescent="0.35">
      <c r="A1046" t="s">
        <v>24</v>
      </c>
      <c r="B1046">
        <v>2019</v>
      </c>
      <c r="C1046">
        <v>14.460355727867313</v>
      </c>
    </row>
    <row r="1047" spans="1:3" x14ac:dyDescent="0.35">
      <c r="A1047" t="s">
        <v>24</v>
      </c>
      <c r="B1047">
        <v>2020</v>
      </c>
      <c r="C1047">
        <v>14.797639427185731</v>
      </c>
    </row>
    <row r="1048" spans="1:3" x14ac:dyDescent="0.35">
      <c r="A1048" t="s">
        <v>24</v>
      </c>
      <c r="B1048">
        <v>2021</v>
      </c>
      <c r="C1048">
        <v>15.882447947414416</v>
      </c>
    </row>
    <row r="1049" spans="1:3" x14ac:dyDescent="0.35">
      <c r="A1049" t="s">
        <v>24</v>
      </c>
      <c r="B1049">
        <v>2022</v>
      </c>
      <c r="C1049">
        <v>15.563929975828326</v>
      </c>
    </row>
    <row r="1050" spans="1:3" x14ac:dyDescent="0.35">
      <c r="A1050" t="s">
        <v>24</v>
      </c>
      <c r="B1050">
        <v>2023</v>
      </c>
      <c r="C1050">
        <v>14.420505399032434</v>
      </c>
    </row>
    <row r="1051" spans="1:3" x14ac:dyDescent="0.35">
      <c r="A1051" t="s">
        <v>24</v>
      </c>
      <c r="B1051">
        <v>2024</v>
      </c>
      <c r="C1051">
        <v>14.674916178744013</v>
      </c>
    </row>
    <row r="1052" spans="1:3" x14ac:dyDescent="0.35">
      <c r="A1052" t="s">
        <v>24</v>
      </c>
      <c r="B1052">
        <v>2025</v>
      </c>
      <c r="C1052">
        <v>14.738181340450689</v>
      </c>
    </row>
    <row r="1053" spans="1:3" x14ac:dyDescent="0.35">
      <c r="A1053" t="s">
        <v>25</v>
      </c>
      <c r="B1053">
        <v>1958</v>
      </c>
      <c r="C1053">
        <v>9.9941729839364868</v>
      </c>
    </row>
    <row r="1054" spans="1:3" x14ac:dyDescent="0.35">
      <c r="A1054" t="s">
        <v>25</v>
      </c>
      <c r="B1054">
        <v>1959</v>
      </c>
      <c r="C1054">
        <v>11.710061127639666</v>
      </c>
    </row>
    <row r="1055" spans="1:3" x14ac:dyDescent="0.35">
      <c r="A1055" t="s">
        <v>25</v>
      </c>
      <c r="B1055">
        <v>1960</v>
      </c>
      <c r="C1055">
        <v>20.821777351957373</v>
      </c>
    </row>
    <row r="1056" spans="1:3" x14ac:dyDescent="0.35">
      <c r="A1056" t="s">
        <v>25</v>
      </c>
      <c r="B1056">
        <v>1961</v>
      </c>
      <c r="C1056">
        <v>27.454210299250892</v>
      </c>
    </row>
    <row r="1057" spans="1:3" x14ac:dyDescent="0.35">
      <c r="A1057" t="s">
        <v>25</v>
      </c>
      <c r="B1057">
        <v>1962</v>
      </c>
      <c r="C1057">
        <v>27.944464054594658</v>
      </c>
    </row>
    <row r="1058" spans="1:3" x14ac:dyDescent="0.35">
      <c r="A1058" t="s">
        <v>25</v>
      </c>
      <c r="B1058">
        <v>1963</v>
      </c>
      <c r="C1058">
        <v>31.096095338947443</v>
      </c>
    </row>
    <row r="1059" spans="1:3" x14ac:dyDescent="0.35">
      <c r="A1059" t="s">
        <v>25</v>
      </c>
      <c r="B1059">
        <v>1964</v>
      </c>
      <c r="C1059">
        <v>33.30223723799439</v>
      </c>
    </row>
    <row r="1060" spans="1:3" x14ac:dyDescent="0.35">
      <c r="A1060" t="s">
        <v>25</v>
      </c>
      <c r="B1060">
        <v>1965</v>
      </c>
      <c r="C1060">
        <v>35.578415387804732</v>
      </c>
    </row>
    <row r="1061" spans="1:3" x14ac:dyDescent="0.35">
      <c r="A1061" t="s">
        <v>25</v>
      </c>
      <c r="B1061">
        <v>1966</v>
      </c>
      <c r="C1061">
        <v>47.344505516055115</v>
      </c>
    </row>
    <row r="1062" spans="1:3" x14ac:dyDescent="0.35">
      <c r="A1062" t="s">
        <v>25</v>
      </c>
      <c r="B1062">
        <v>1968</v>
      </c>
      <c r="C1062">
        <v>44.271216355346375</v>
      </c>
    </row>
    <row r="1063" spans="1:3" x14ac:dyDescent="0.35">
      <c r="A1063" t="s">
        <v>25</v>
      </c>
      <c r="B1063">
        <v>1969</v>
      </c>
      <c r="C1063">
        <v>49.026817669265093</v>
      </c>
    </row>
    <row r="1064" spans="1:3" x14ac:dyDescent="0.35">
      <c r="A1064" t="s">
        <v>25</v>
      </c>
      <c r="B1064">
        <v>1970</v>
      </c>
      <c r="C1064">
        <v>46.918664509486689</v>
      </c>
    </row>
    <row r="1065" spans="1:3" x14ac:dyDescent="0.35">
      <c r="A1065" t="s">
        <v>25</v>
      </c>
      <c r="B1065">
        <v>1971</v>
      </c>
      <c r="C1065">
        <v>41.13933229558441</v>
      </c>
    </row>
    <row r="1066" spans="1:3" x14ac:dyDescent="0.35">
      <c r="A1066" t="s">
        <v>25</v>
      </c>
      <c r="B1066">
        <v>1972</v>
      </c>
      <c r="C1066">
        <v>30.202525756563887</v>
      </c>
    </row>
    <row r="1067" spans="1:3" x14ac:dyDescent="0.35">
      <c r="A1067" t="s">
        <v>25</v>
      </c>
      <c r="B1067">
        <v>1973</v>
      </c>
      <c r="C1067">
        <v>41.052242843769598</v>
      </c>
    </row>
    <row r="1068" spans="1:3" x14ac:dyDescent="0.35">
      <c r="A1068" t="s">
        <v>25</v>
      </c>
      <c r="B1068">
        <v>1974</v>
      </c>
      <c r="C1068">
        <v>64.121526388139685</v>
      </c>
    </row>
    <row r="1069" spans="1:3" x14ac:dyDescent="0.35">
      <c r="A1069" t="s">
        <v>25</v>
      </c>
      <c r="B1069">
        <v>1975</v>
      </c>
      <c r="C1069">
        <v>78.82510570916493</v>
      </c>
    </row>
    <row r="1070" spans="1:3" x14ac:dyDescent="0.35">
      <c r="A1070" t="s">
        <v>25</v>
      </c>
      <c r="B1070">
        <v>1976</v>
      </c>
      <c r="C1070">
        <v>88.961005063599501</v>
      </c>
    </row>
    <row r="1071" spans="1:3" x14ac:dyDescent="0.35">
      <c r="A1071" t="s">
        <v>25</v>
      </c>
      <c r="B1071">
        <v>1977</v>
      </c>
      <c r="C1071">
        <v>121.71779568114984</v>
      </c>
    </row>
    <row r="1072" spans="1:3" x14ac:dyDescent="0.35">
      <c r="A1072" t="s">
        <v>25</v>
      </c>
      <c r="B1072">
        <v>1978</v>
      </c>
      <c r="C1072">
        <v>101.35422635493552</v>
      </c>
    </row>
    <row r="1073" spans="1:3" x14ac:dyDescent="0.35">
      <c r="A1073" t="s">
        <v>25</v>
      </c>
      <c r="B1073">
        <v>1979</v>
      </c>
      <c r="C1073">
        <v>66.362988080858059</v>
      </c>
    </row>
    <row r="1074" spans="1:3" x14ac:dyDescent="0.35">
      <c r="A1074" t="s">
        <v>25</v>
      </c>
      <c r="B1074">
        <v>1980</v>
      </c>
      <c r="C1074">
        <v>120.61036485090158</v>
      </c>
    </row>
    <row r="1075" spans="1:3" x14ac:dyDescent="0.35">
      <c r="A1075" t="s">
        <v>25</v>
      </c>
      <c r="B1075">
        <v>1981</v>
      </c>
      <c r="C1075">
        <v>195.55979217906361</v>
      </c>
    </row>
    <row r="1076" spans="1:3" x14ac:dyDescent="0.35">
      <c r="A1076" t="s">
        <v>25</v>
      </c>
      <c r="B1076">
        <v>1982</v>
      </c>
      <c r="C1076">
        <v>170.27345626009634</v>
      </c>
    </row>
    <row r="1077" spans="1:3" x14ac:dyDescent="0.35">
      <c r="A1077" t="s">
        <v>25</v>
      </c>
      <c r="B1077">
        <v>1983</v>
      </c>
      <c r="C1077">
        <v>71.14828735341743</v>
      </c>
    </row>
    <row r="1078" spans="1:3" x14ac:dyDescent="0.35">
      <c r="A1078" t="s">
        <v>25</v>
      </c>
      <c r="B1078">
        <v>1984</v>
      </c>
      <c r="C1078">
        <v>44.624487026924825</v>
      </c>
    </row>
    <row r="1079" spans="1:3" x14ac:dyDescent="0.35">
      <c r="A1079" t="s">
        <v>25</v>
      </c>
      <c r="B1079">
        <v>1985</v>
      </c>
      <c r="C1079">
        <v>63.162776659219148</v>
      </c>
    </row>
    <row r="1080" spans="1:3" x14ac:dyDescent="0.35">
      <c r="A1080" t="s">
        <v>25</v>
      </c>
      <c r="B1080">
        <v>1986</v>
      </c>
      <c r="C1080">
        <v>51.650922762522399</v>
      </c>
    </row>
    <row r="1081" spans="1:3" x14ac:dyDescent="0.35">
      <c r="A1081" t="s">
        <v>25</v>
      </c>
      <c r="B1081">
        <v>1987</v>
      </c>
      <c r="C1081">
        <v>43.338474855354022</v>
      </c>
    </row>
    <row r="1082" spans="1:3" x14ac:dyDescent="0.35">
      <c r="A1082" t="s">
        <v>25</v>
      </c>
      <c r="B1082">
        <v>1988</v>
      </c>
      <c r="C1082">
        <v>22.760419557601342</v>
      </c>
    </row>
    <row r="1083" spans="1:3" x14ac:dyDescent="0.35">
      <c r="A1083" t="s">
        <v>25</v>
      </c>
      <c r="B1083">
        <v>1989</v>
      </c>
      <c r="C1083">
        <v>22.626979857749127</v>
      </c>
    </row>
    <row r="1084" spans="1:3" x14ac:dyDescent="0.35">
      <c r="A1084" t="s">
        <v>25</v>
      </c>
      <c r="B1084">
        <v>1990</v>
      </c>
      <c r="C1084">
        <v>27.612534916139452</v>
      </c>
    </row>
    <row r="1085" spans="1:3" x14ac:dyDescent="0.35">
      <c r="A1085" t="s">
        <v>25</v>
      </c>
      <c r="B1085">
        <v>1991</v>
      </c>
      <c r="C1085">
        <v>41.427175744250562</v>
      </c>
    </row>
    <row r="1086" spans="1:3" x14ac:dyDescent="0.35">
      <c r="A1086" t="s">
        <v>25</v>
      </c>
      <c r="B1086">
        <v>1992</v>
      </c>
      <c r="C1086">
        <v>41.664027151855102</v>
      </c>
    </row>
    <row r="1087" spans="1:3" x14ac:dyDescent="0.35">
      <c r="A1087" t="s">
        <v>25</v>
      </c>
      <c r="B1087">
        <v>1993</v>
      </c>
      <c r="C1087">
        <v>41.004336421709226</v>
      </c>
    </row>
    <row r="1088" spans="1:3" x14ac:dyDescent="0.35">
      <c r="A1088" t="s">
        <v>25</v>
      </c>
      <c r="B1088">
        <v>1994</v>
      </c>
      <c r="C1088">
        <v>37.8232354527604</v>
      </c>
    </row>
    <row r="1089" spans="1:3" x14ac:dyDescent="0.35">
      <c r="A1089" t="s">
        <v>25</v>
      </c>
      <c r="B1089">
        <v>1995</v>
      </c>
      <c r="C1089">
        <v>49.054374233706149</v>
      </c>
    </row>
    <row r="1090" spans="1:3" x14ac:dyDescent="0.35">
      <c r="A1090" t="s">
        <v>25</v>
      </c>
      <c r="B1090">
        <v>1996</v>
      </c>
      <c r="C1090">
        <v>44.417767104769574</v>
      </c>
    </row>
    <row r="1091" spans="1:3" x14ac:dyDescent="0.35">
      <c r="A1091" t="s">
        <v>25</v>
      </c>
      <c r="B1091">
        <v>1997</v>
      </c>
      <c r="C1091">
        <v>45.483248502345887</v>
      </c>
    </row>
    <row r="1092" spans="1:3" x14ac:dyDescent="0.35">
      <c r="A1092" t="s">
        <v>25</v>
      </c>
      <c r="B1092">
        <v>1998</v>
      </c>
      <c r="C1092">
        <v>57.453110370269577</v>
      </c>
    </row>
    <row r="1093" spans="1:3" x14ac:dyDescent="0.35">
      <c r="A1093" t="s">
        <v>25</v>
      </c>
      <c r="B1093">
        <v>1999</v>
      </c>
      <c r="C1093">
        <v>59.277767035475016</v>
      </c>
    </row>
    <row r="1094" spans="1:3" x14ac:dyDescent="0.35">
      <c r="A1094" t="s">
        <v>25</v>
      </c>
      <c r="B1094">
        <v>2000</v>
      </c>
      <c r="C1094">
        <v>50.882591818859986</v>
      </c>
    </row>
    <row r="1095" spans="1:3" x14ac:dyDescent="0.35">
      <c r="A1095" t="s">
        <v>25</v>
      </c>
      <c r="B1095">
        <v>2001</v>
      </c>
      <c r="C1095">
        <v>32.352133371318573</v>
      </c>
    </row>
    <row r="1096" spans="1:3" x14ac:dyDescent="0.35">
      <c r="A1096" t="s">
        <v>25</v>
      </c>
      <c r="B1096">
        <v>2002</v>
      </c>
      <c r="C1096">
        <v>36.975477409596714</v>
      </c>
    </row>
    <row r="1097" spans="1:3" x14ac:dyDescent="0.35">
      <c r="A1097" t="s">
        <v>25</v>
      </c>
      <c r="B1097">
        <v>2003</v>
      </c>
      <c r="C1097">
        <v>53.244000228994807</v>
      </c>
    </row>
    <row r="1098" spans="1:3" x14ac:dyDescent="0.35">
      <c r="A1098" t="s">
        <v>25</v>
      </c>
      <c r="B1098">
        <v>2004</v>
      </c>
      <c r="C1098">
        <v>56.353852136214705</v>
      </c>
    </row>
    <row r="1099" spans="1:3" x14ac:dyDescent="0.35">
      <c r="A1099" t="s">
        <v>25</v>
      </c>
      <c r="B1099">
        <v>2005</v>
      </c>
      <c r="C1099">
        <v>64.272415292289693</v>
      </c>
    </row>
    <row r="1100" spans="1:3" x14ac:dyDescent="0.35">
      <c r="A1100" t="s">
        <v>25</v>
      </c>
      <c r="B1100">
        <v>2006</v>
      </c>
      <c r="C1100">
        <v>75.843934350835696</v>
      </c>
    </row>
    <row r="1101" spans="1:3" x14ac:dyDescent="0.35">
      <c r="A1101" t="s">
        <v>25</v>
      </c>
      <c r="B1101">
        <v>2007</v>
      </c>
      <c r="C1101">
        <v>126.43316868467413</v>
      </c>
    </row>
    <row r="1102" spans="1:3" x14ac:dyDescent="0.35">
      <c r="A1102" t="s">
        <v>25</v>
      </c>
      <c r="B1102">
        <v>2008</v>
      </c>
      <c r="C1102">
        <v>114.27145945689101</v>
      </c>
    </row>
    <row r="1103" spans="1:3" x14ac:dyDescent="0.35">
      <c r="A1103" t="s">
        <v>25</v>
      </c>
      <c r="B1103">
        <v>2009</v>
      </c>
      <c r="C1103">
        <v>118.61349023701686</v>
      </c>
    </row>
    <row r="1104" spans="1:3" x14ac:dyDescent="0.35">
      <c r="A1104" t="s">
        <v>25</v>
      </c>
      <c r="B1104">
        <v>2010</v>
      </c>
      <c r="C1104">
        <v>122.56926071399462</v>
      </c>
    </row>
    <row r="1105" spans="1:3" x14ac:dyDescent="0.35">
      <c r="A1105" t="s">
        <v>25</v>
      </c>
      <c r="B1105">
        <v>2011</v>
      </c>
      <c r="C1105">
        <v>232.97525688450474</v>
      </c>
    </row>
    <row r="1106" spans="1:3" x14ac:dyDescent="0.35">
      <c r="A1106" t="s">
        <v>25</v>
      </c>
      <c r="B1106">
        <v>2012</v>
      </c>
      <c r="C1106">
        <v>331.89274102217632</v>
      </c>
    </row>
    <row r="1107" spans="1:3" x14ac:dyDescent="0.35">
      <c r="A1107" t="s">
        <v>25</v>
      </c>
      <c r="B1107">
        <v>2013</v>
      </c>
      <c r="C1107">
        <v>251.48358442476092</v>
      </c>
    </row>
    <row r="1108" spans="1:3" x14ac:dyDescent="0.35">
      <c r="A1108" t="s">
        <v>25</v>
      </c>
      <c r="B1108">
        <v>2014</v>
      </c>
      <c r="C1108">
        <v>265.69310306137425</v>
      </c>
    </row>
    <row r="1109" spans="1:3" x14ac:dyDescent="0.35">
      <c r="A1109" t="s">
        <v>25</v>
      </c>
      <c r="B1109">
        <v>2015</v>
      </c>
      <c r="C1109">
        <v>194.12370417065836</v>
      </c>
    </row>
    <row r="1110" spans="1:3" x14ac:dyDescent="0.35">
      <c r="A1110" t="s">
        <v>25</v>
      </c>
      <c r="B1110">
        <v>2016</v>
      </c>
      <c r="C1110">
        <v>163.67161290597627</v>
      </c>
    </row>
    <row r="1111" spans="1:3" x14ac:dyDescent="0.35">
      <c r="A1111" t="s">
        <v>25</v>
      </c>
      <c r="B1111">
        <v>2017</v>
      </c>
      <c r="C1111">
        <v>188.8900824419996</v>
      </c>
    </row>
    <row r="1112" spans="1:3" x14ac:dyDescent="0.35">
      <c r="A1112" t="s">
        <v>25</v>
      </c>
      <c r="B1112">
        <v>2018</v>
      </c>
      <c r="C1112">
        <v>219.31117205432548</v>
      </c>
    </row>
    <row r="1113" spans="1:3" x14ac:dyDescent="0.35">
      <c r="A1113" t="s">
        <v>25</v>
      </c>
      <c r="B1113">
        <v>2019</v>
      </c>
      <c r="C1113">
        <v>234.95837619233234</v>
      </c>
    </row>
    <row r="1114" spans="1:3" x14ac:dyDescent="0.35">
      <c r="A1114" t="s">
        <v>25</v>
      </c>
      <c r="B1114">
        <v>2020</v>
      </c>
      <c r="C1114">
        <v>245.815706977818</v>
      </c>
    </row>
    <row r="1115" spans="1:3" x14ac:dyDescent="0.35">
      <c r="A1115" t="s">
        <v>25</v>
      </c>
      <c r="B1115">
        <v>2021</v>
      </c>
      <c r="C1115">
        <v>304.37328832009922</v>
      </c>
    </row>
    <row r="1116" spans="1:3" x14ac:dyDescent="0.35">
      <c r="A1116" t="s">
        <v>25</v>
      </c>
      <c r="B1116">
        <v>2022</v>
      </c>
      <c r="C1116">
        <v>249.28968618538761</v>
      </c>
    </row>
    <row r="1117" spans="1:3" x14ac:dyDescent="0.35">
      <c r="A1117" t="s">
        <v>25</v>
      </c>
      <c r="B1117">
        <v>2023</v>
      </c>
      <c r="C1117">
        <v>301.97973608056049</v>
      </c>
    </row>
    <row r="1118" spans="1:3" x14ac:dyDescent="0.35">
      <c r="A1118" t="s">
        <v>25</v>
      </c>
      <c r="B1118">
        <v>2024</v>
      </c>
      <c r="C1118">
        <v>274.37709810539707</v>
      </c>
    </row>
    <row r="1119" spans="1:3" x14ac:dyDescent="0.35">
      <c r="A1119" t="s">
        <v>25</v>
      </c>
      <c r="B1119">
        <v>2025</v>
      </c>
      <c r="C1119">
        <v>506.65171720063302</v>
      </c>
    </row>
    <row r="1120" spans="1:3" x14ac:dyDescent="0.35">
      <c r="A1120" t="s">
        <v>26</v>
      </c>
      <c r="B1120">
        <v>1965</v>
      </c>
      <c r="C1120">
        <v>10.492201741948552</v>
      </c>
    </row>
    <row r="1121" spans="1:3" x14ac:dyDescent="0.35">
      <c r="A1121" t="s">
        <v>26</v>
      </c>
      <c r="B1121">
        <v>1966</v>
      </c>
      <c r="C1121">
        <v>13.895077982580515</v>
      </c>
    </row>
    <row r="1122" spans="1:3" x14ac:dyDescent="0.35">
      <c r="A1122" t="s">
        <v>26</v>
      </c>
      <c r="B1122">
        <v>1968</v>
      </c>
      <c r="C1122">
        <v>14.178651002633179</v>
      </c>
    </row>
    <row r="1123" spans="1:3" x14ac:dyDescent="0.35">
      <c r="A1123" t="s">
        <v>26</v>
      </c>
      <c r="B1123">
        <v>1969</v>
      </c>
      <c r="C1123">
        <v>14.705286611302411</v>
      </c>
    </row>
    <row r="1124" spans="1:3" x14ac:dyDescent="0.35">
      <c r="A1124" t="s">
        <v>26</v>
      </c>
      <c r="B1124">
        <v>1970</v>
      </c>
      <c r="C1124">
        <v>15.069880494227265</v>
      </c>
    </row>
    <row r="1125" spans="1:3" x14ac:dyDescent="0.35">
      <c r="A1125" t="s">
        <v>26</v>
      </c>
      <c r="B1125">
        <v>1971</v>
      </c>
      <c r="C1125">
        <v>26.327764415263605</v>
      </c>
    </row>
    <row r="1126" spans="1:3" x14ac:dyDescent="0.35">
      <c r="A1126" t="s">
        <v>26</v>
      </c>
      <c r="B1126">
        <v>1972</v>
      </c>
      <c r="C1126">
        <v>31.711404230239747</v>
      </c>
    </row>
    <row r="1127" spans="1:3" x14ac:dyDescent="0.35">
      <c r="A1127" t="s">
        <v>26</v>
      </c>
      <c r="B1127">
        <v>1973</v>
      </c>
      <c r="C1127">
        <v>36.058910702304004</v>
      </c>
    </row>
    <row r="1128" spans="1:3" x14ac:dyDescent="0.35">
      <c r="A1128" t="s">
        <v>26</v>
      </c>
      <c r="B1128">
        <v>1978</v>
      </c>
      <c r="C1128">
        <v>85.228280984612255</v>
      </c>
    </row>
    <row r="1129" spans="1:3" x14ac:dyDescent="0.35">
      <c r="A1129" t="s">
        <v>26</v>
      </c>
      <c r="B1129">
        <v>1979</v>
      </c>
      <c r="C1129">
        <v>71.021091746480352</v>
      </c>
    </row>
    <row r="1130" spans="1:3" x14ac:dyDescent="0.35">
      <c r="A1130" t="s">
        <v>26</v>
      </c>
      <c r="B1130">
        <v>1980</v>
      </c>
      <c r="C1130">
        <v>60.309243024107879</v>
      </c>
    </row>
    <row r="1131" spans="1:3" x14ac:dyDescent="0.35">
      <c r="A1131" t="s">
        <v>26</v>
      </c>
      <c r="B1131">
        <v>1981</v>
      </c>
      <c r="C1131">
        <v>52.510728896654115</v>
      </c>
    </row>
    <row r="1132" spans="1:3" x14ac:dyDescent="0.35">
      <c r="A1132" t="s">
        <v>26</v>
      </c>
      <c r="B1132">
        <v>1982</v>
      </c>
      <c r="C1132">
        <v>52.266833586694091</v>
      </c>
    </row>
    <row r="1133" spans="1:3" x14ac:dyDescent="0.35">
      <c r="A1133" t="s">
        <v>26</v>
      </c>
      <c r="B1133">
        <v>1991</v>
      </c>
      <c r="C1133">
        <v>71.764178399645573</v>
      </c>
    </row>
    <row r="1134" spans="1:3" x14ac:dyDescent="0.35">
      <c r="A1134" t="s">
        <v>26</v>
      </c>
      <c r="B1134">
        <v>1992</v>
      </c>
      <c r="C1134">
        <v>55.654040294855548</v>
      </c>
    </row>
    <row r="1135" spans="1:3" x14ac:dyDescent="0.35">
      <c r="A1135" t="s">
        <v>26</v>
      </c>
      <c r="B1135">
        <v>1993</v>
      </c>
      <c r="C1135">
        <v>43.956503992715774</v>
      </c>
    </row>
    <row r="1136" spans="1:3" x14ac:dyDescent="0.35">
      <c r="A1136" t="s">
        <v>26</v>
      </c>
      <c r="B1136">
        <v>1994</v>
      </c>
      <c r="C1136">
        <v>45.871747508795501</v>
      </c>
    </row>
    <row r="1137" spans="1:3" x14ac:dyDescent="0.35">
      <c r="A1137" t="s">
        <v>26</v>
      </c>
      <c r="B1137">
        <v>1997</v>
      </c>
      <c r="C1137">
        <v>44.370189805811947</v>
      </c>
    </row>
    <row r="1138" spans="1:3" x14ac:dyDescent="0.35">
      <c r="A1138" t="s">
        <v>26</v>
      </c>
      <c r="B1138">
        <v>1998</v>
      </c>
      <c r="C1138">
        <v>45.034483316219692</v>
      </c>
    </row>
    <row r="1139" spans="1:3" x14ac:dyDescent="0.35">
      <c r="A1139" t="s">
        <v>26</v>
      </c>
      <c r="B1139">
        <v>1999</v>
      </c>
      <c r="C1139">
        <v>55.211186391812021</v>
      </c>
    </row>
    <row r="1140" spans="1:3" x14ac:dyDescent="0.35">
      <c r="A1140" t="s">
        <v>26</v>
      </c>
      <c r="B1140">
        <v>2000</v>
      </c>
      <c r="C1140">
        <v>45.967931214114387</v>
      </c>
    </row>
    <row r="1141" spans="1:3" x14ac:dyDescent="0.35">
      <c r="A1141" t="s">
        <v>26</v>
      </c>
      <c r="B1141">
        <v>2001</v>
      </c>
      <c r="C1141">
        <v>87.718398818800765</v>
      </c>
    </row>
    <row r="1142" spans="1:3" x14ac:dyDescent="0.35">
      <c r="A1142" t="s">
        <v>26</v>
      </c>
      <c r="B1142">
        <v>2002</v>
      </c>
      <c r="C1142">
        <v>98.084865171268945</v>
      </c>
    </row>
    <row r="1143" spans="1:3" x14ac:dyDescent="0.35">
      <c r="A1143" t="s">
        <v>26</v>
      </c>
      <c r="B1143">
        <v>2003</v>
      </c>
      <c r="C1143">
        <v>84.133949308036051</v>
      </c>
    </row>
    <row r="1144" spans="1:3" x14ac:dyDescent="0.35">
      <c r="A1144" t="s">
        <v>26</v>
      </c>
      <c r="B1144">
        <v>2004</v>
      </c>
      <c r="C1144">
        <v>81.01857009799771</v>
      </c>
    </row>
    <row r="1145" spans="1:3" x14ac:dyDescent="0.35">
      <c r="A1145" t="s">
        <v>26</v>
      </c>
      <c r="B1145">
        <v>2012</v>
      </c>
      <c r="C1145">
        <v>168.9133574679029</v>
      </c>
    </row>
    <row r="1146" spans="1:3" x14ac:dyDescent="0.35">
      <c r="A1146" t="s">
        <v>26</v>
      </c>
      <c r="B1146">
        <v>2013</v>
      </c>
      <c r="C1146">
        <v>196.81870559419099</v>
      </c>
    </row>
    <row r="1147" spans="1:3" x14ac:dyDescent="0.35">
      <c r="A1147" t="s">
        <v>26</v>
      </c>
      <c r="B1147">
        <v>2014</v>
      </c>
      <c r="C1147">
        <v>196.94558975324063</v>
      </c>
    </row>
    <row r="1148" spans="1:3" x14ac:dyDescent="0.35">
      <c r="A1148" t="s">
        <v>26</v>
      </c>
      <c r="B1148">
        <v>2015</v>
      </c>
      <c r="C1148">
        <v>221.4142323102065</v>
      </c>
    </row>
    <row r="1149" spans="1:3" x14ac:dyDescent="0.35">
      <c r="A1149" t="s">
        <v>26</v>
      </c>
      <c r="B1149">
        <v>2016</v>
      </c>
      <c r="C1149">
        <v>161.85674445321777</v>
      </c>
    </row>
    <row r="1150" spans="1:3" x14ac:dyDescent="0.35">
      <c r="A1150" t="s">
        <v>26</v>
      </c>
      <c r="B1150">
        <v>2017</v>
      </c>
      <c r="C1150">
        <v>181.63777587054466</v>
      </c>
    </row>
    <row r="1151" spans="1:3" x14ac:dyDescent="0.35">
      <c r="A1151" t="s">
        <v>26</v>
      </c>
      <c r="B1151">
        <v>2018</v>
      </c>
      <c r="C1151">
        <v>197.07952635247594</v>
      </c>
    </row>
    <row r="1152" spans="1:3" x14ac:dyDescent="0.35">
      <c r="A1152" t="s">
        <v>26</v>
      </c>
      <c r="B1152">
        <v>2019</v>
      </c>
      <c r="C1152">
        <v>197.75433070763407</v>
      </c>
    </row>
    <row r="1153" spans="1:3" x14ac:dyDescent="0.35">
      <c r="A1153" t="s">
        <v>26</v>
      </c>
      <c r="B1153">
        <v>2020</v>
      </c>
      <c r="C1153">
        <v>206.99289078606407</v>
      </c>
    </row>
    <row r="1154" spans="1:3" x14ac:dyDescent="0.35">
      <c r="A1154" t="s">
        <v>26</v>
      </c>
      <c r="B1154">
        <v>2021</v>
      </c>
      <c r="C1154">
        <v>244.55859041580294</v>
      </c>
    </row>
    <row r="1155" spans="1:3" x14ac:dyDescent="0.35">
      <c r="A1155" t="s">
        <v>26</v>
      </c>
      <c r="B1155">
        <v>2022</v>
      </c>
      <c r="C1155">
        <v>441.26016972619306</v>
      </c>
    </row>
    <row r="1156" spans="1:3" x14ac:dyDescent="0.35">
      <c r="A1156" t="s">
        <v>26</v>
      </c>
      <c r="B1156">
        <v>2023</v>
      </c>
      <c r="C1156">
        <v>504.66718028627542</v>
      </c>
    </row>
    <row r="1157" spans="1:3" x14ac:dyDescent="0.35">
      <c r="A1157" t="s">
        <v>26</v>
      </c>
      <c r="B1157">
        <v>2024</v>
      </c>
      <c r="C1157">
        <v>562.45595049968244</v>
      </c>
    </row>
    <row r="1158" spans="1:3" x14ac:dyDescent="0.35">
      <c r="A1158" t="s">
        <v>26</v>
      </c>
      <c r="B1158">
        <v>2025</v>
      </c>
      <c r="C1158">
        <v>600.53964243064081</v>
      </c>
    </row>
    <row r="1159" spans="1:3" x14ac:dyDescent="0.35">
      <c r="A1159" t="s">
        <v>27</v>
      </c>
      <c r="B1159">
        <v>1982</v>
      </c>
      <c r="C1159">
        <v>9.4077518570934782</v>
      </c>
    </row>
    <row r="1160" spans="1:3" x14ac:dyDescent="0.35">
      <c r="A1160" t="s">
        <v>27</v>
      </c>
      <c r="B1160">
        <v>1983</v>
      </c>
      <c r="C1160">
        <v>18.064755199407109</v>
      </c>
    </row>
    <row r="1161" spans="1:3" x14ac:dyDescent="0.35">
      <c r="A1161" t="s">
        <v>27</v>
      </c>
      <c r="B1161">
        <v>1984</v>
      </c>
      <c r="C1161">
        <v>6.4651287120095988</v>
      </c>
    </row>
    <row r="1162" spans="1:3" x14ac:dyDescent="0.35">
      <c r="A1162" t="s">
        <v>27</v>
      </c>
      <c r="B1162">
        <v>1985</v>
      </c>
      <c r="C1162">
        <v>4.6525674826344963</v>
      </c>
    </row>
    <row r="1163" spans="1:3" x14ac:dyDescent="0.35">
      <c r="A1163" t="s">
        <v>27</v>
      </c>
      <c r="B1163">
        <v>1986</v>
      </c>
      <c r="C1163">
        <v>6.1288201382815046</v>
      </c>
    </row>
    <row r="1164" spans="1:3" x14ac:dyDescent="0.35">
      <c r="A1164" t="s">
        <v>27</v>
      </c>
      <c r="B1164">
        <v>1987</v>
      </c>
      <c r="C1164">
        <v>3.883662223710572</v>
      </c>
    </row>
    <row r="1165" spans="1:3" x14ac:dyDescent="0.35">
      <c r="A1165" t="s">
        <v>27</v>
      </c>
      <c r="B1165">
        <v>1989</v>
      </c>
      <c r="C1165">
        <v>4.4347251547665216</v>
      </c>
    </row>
    <row r="1166" spans="1:3" x14ac:dyDescent="0.35">
      <c r="A1166" t="s">
        <v>27</v>
      </c>
      <c r="B1166">
        <v>1994</v>
      </c>
      <c r="C1166">
        <v>2.0167287651065586</v>
      </c>
    </row>
    <row r="1167" spans="1:3" x14ac:dyDescent="0.35">
      <c r="A1167" t="s">
        <v>27</v>
      </c>
      <c r="B1167">
        <v>1995</v>
      </c>
      <c r="C1167">
        <v>2.2119199105161509</v>
      </c>
    </row>
    <row r="1168" spans="1:3" x14ac:dyDescent="0.35">
      <c r="A1168" t="s">
        <v>27</v>
      </c>
      <c r="B1168">
        <v>1996</v>
      </c>
      <c r="C1168">
        <v>1.8977436567302122</v>
      </c>
    </row>
    <row r="1169" spans="1:3" x14ac:dyDescent="0.35">
      <c r="A1169" t="s">
        <v>27</v>
      </c>
      <c r="B1169">
        <v>1997</v>
      </c>
      <c r="C1169">
        <v>1.8178111223998532</v>
      </c>
    </row>
    <row r="1170" spans="1:3" x14ac:dyDescent="0.35">
      <c r="A1170" t="s">
        <v>27</v>
      </c>
      <c r="B1170">
        <v>1998</v>
      </c>
      <c r="C1170">
        <v>2.9002359513994356</v>
      </c>
    </row>
    <row r="1171" spans="1:3" x14ac:dyDescent="0.35">
      <c r="A1171" t="s">
        <v>27</v>
      </c>
      <c r="B1171">
        <v>2000</v>
      </c>
      <c r="C1171">
        <v>9.5313606076609325</v>
      </c>
    </row>
    <row r="1172" spans="1:3" x14ac:dyDescent="0.35">
      <c r="A1172" t="s">
        <v>27</v>
      </c>
      <c r="B1172">
        <v>2001</v>
      </c>
      <c r="C1172">
        <v>6.1831635151744999</v>
      </c>
    </row>
    <row r="1173" spans="1:3" x14ac:dyDescent="0.35">
      <c r="A1173" t="s">
        <v>27</v>
      </c>
      <c r="B1173">
        <v>2002</v>
      </c>
      <c r="C1173">
        <v>6.3630937691897129</v>
      </c>
    </row>
    <row r="1174" spans="1:3" x14ac:dyDescent="0.35">
      <c r="A1174" t="s">
        <v>27</v>
      </c>
      <c r="B1174">
        <v>2003</v>
      </c>
      <c r="C1174">
        <v>7.5051617343427388</v>
      </c>
    </row>
    <row r="1175" spans="1:3" x14ac:dyDescent="0.35">
      <c r="A1175" t="s">
        <v>27</v>
      </c>
      <c r="B1175">
        <v>2005</v>
      </c>
      <c r="C1175">
        <v>12.116374832217312</v>
      </c>
    </row>
    <row r="1176" spans="1:3" x14ac:dyDescent="0.35">
      <c r="A1176" t="s">
        <v>27</v>
      </c>
      <c r="B1176">
        <v>2009</v>
      </c>
      <c r="C1176">
        <v>13.744583702185157</v>
      </c>
    </row>
    <row r="1177" spans="1:3" x14ac:dyDescent="0.35">
      <c r="A1177" t="s">
        <v>27</v>
      </c>
      <c r="B1177">
        <v>2010</v>
      </c>
      <c r="C1177">
        <v>17.129808167954497</v>
      </c>
    </row>
    <row r="1178" spans="1:3" x14ac:dyDescent="0.35">
      <c r="A1178" t="s">
        <v>27</v>
      </c>
      <c r="B1178">
        <v>2011</v>
      </c>
      <c r="C1178">
        <v>17.519804351235308</v>
      </c>
    </row>
    <row r="1179" spans="1:3" x14ac:dyDescent="0.35">
      <c r="A1179" t="s">
        <v>27</v>
      </c>
      <c r="B1179">
        <v>2012</v>
      </c>
      <c r="C1179">
        <v>24.49175068115888</v>
      </c>
    </row>
    <row r="1180" spans="1:3" x14ac:dyDescent="0.35">
      <c r="A1180" t="s">
        <v>27</v>
      </c>
      <c r="B1180">
        <v>2013</v>
      </c>
      <c r="C1180">
        <v>21.710792648368553</v>
      </c>
    </row>
    <row r="1181" spans="1:3" x14ac:dyDescent="0.35">
      <c r="A1181" t="s">
        <v>27</v>
      </c>
      <c r="B1181">
        <v>2014</v>
      </c>
      <c r="C1181">
        <v>21.47083120865868</v>
      </c>
    </row>
    <row r="1182" spans="1:3" x14ac:dyDescent="0.35">
      <c r="A1182" t="s">
        <v>27</v>
      </c>
      <c r="B1182">
        <v>2015</v>
      </c>
      <c r="C1182">
        <v>17.036957292550245</v>
      </c>
    </row>
    <row r="1183" spans="1:3" x14ac:dyDescent="0.35">
      <c r="A1183" t="s">
        <v>27</v>
      </c>
      <c r="B1183">
        <v>2016</v>
      </c>
      <c r="C1183">
        <v>15.730078467708703</v>
      </c>
    </row>
    <row r="1184" spans="1:3" x14ac:dyDescent="0.35">
      <c r="A1184" t="s">
        <v>27</v>
      </c>
      <c r="B1184">
        <v>2017</v>
      </c>
      <c r="C1184">
        <v>19.166184134337001</v>
      </c>
    </row>
    <row r="1185" spans="1:3" x14ac:dyDescent="0.35">
      <c r="A1185" t="s">
        <v>27</v>
      </c>
      <c r="B1185">
        <v>2018</v>
      </c>
      <c r="C1185">
        <v>10.630254217769332</v>
      </c>
    </row>
    <row r="1186" spans="1:3" x14ac:dyDescent="0.35">
      <c r="A1186" t="s">
        <v>27</v>
      </c>
      <c r="B1186">
        <v>2019</v>
      </c>
      <c r="C1186">
        <v>22.442512944613778</v>
      </c>
    </row>
    <row r="1187" spans="1:3" x14ac:dyDescent="0.35">
      <c r="A1187" t="s">
        <v>27</v>
      </c>
      <c r="B1187">
        <v>2020</v>
      </c>
      <c r="C1187">
        <v>24.103254730915598</v>
      </c>
    </row>
    <row r="1188" spans="1:3" x14ac:dyDescent="0.35">
      <c r="A1188" t="s">
        <v>27</v>
      </c>
      <c r="B1188">
        <v>2021</v>
      </c>
      <c r="C1188">
        <v>25.596417439024169</v>
      </c>
    </row>
    <row r="1189" spans="1:3" x14ac:dyDescent="0.35">
      <c r="A1189" t="s">
        <v>27</v>
      </c>
      <c r="B1189">
        <v>2022</v>
      </c>
      <c r="C1189">
        <v>18.69807509719314</v>
      </c>
    </row>
    <row r="1190" spans="1:3" x14ac:dyDescent="0.35">
      <c r="A1190" t="s">
        <v>27</v>
      </c>
      <c r="B1190">
        <v>2023</v>
      </c>
      <c r="C1190">
        <v>18.266819268467025</v>
      </c>
    </row>
    <row r="1191" spans="1:3" x14ac:dyDescent="0.35">
      <c r="A1191" t="s">
        <v>27</v>
      </c>
      <c r="B1191">
        <v>2024</v>
      </c>
      <c r="C1191">
        <v>23.221751789816413</v>
      </c>
    </row>
    <row r="1192" spans="1:3" x14ac:dyDescent="0.35">
      <c r="A1192" t="s">
        <v>27</v>
      </c>
      <c r="B1192">
        <v>2025</v>
      </c>
      <c r="C1192">
        <v>22.360184357157596</v>
      </c>
    </row>
    <row r="1193" spans="1:3" x14ac:dyDescent="0.35">
      <c r="A1193" t="s">
        <v>28</v>
      </c>
      <c r="B1193">
        <v>1963</v>
      </c>
      <c r="C1193">
        <v>1.861999255200298</v>
      </c>
    </row>
    <row r="1194" spans="1:3" x14ac:dyDescent="0.35">
      <c r="A1194" t="s">
        <v>28</v>
      </c>
      <c r="B1194">
        <v>1964</v>
      </c>
      <c r="C1194">
        <v>5.8799976480009404</v>
      </c>
    </row>
    <row r="1195" spans="1:3" x14ac:dyDescent="0.35">
      <c r="A1195" t="s">
        <v>28</v>
      </c>
      <c r="B1195">
        <v>1965</v>
      </c>
      <c r="C1195">
        <v>9.8979960408015852</v>
      </c>
    </row>
    <row r="1196" spans="1:3" x14ac:dyDescent="0.35">
      <c r="A1196" t="s">
        <v>28</v>
      </c>
      <c r="B1196">
        <v>1966</v>
      </c>
      <c r="C1196">
        <v>13.047994780802087</v>
      </c>
    </row>
    <row r="1197" spans="1:3" x14ac:dyDescent="0.35">
      <c r="A1197" t="s">
        <v>28</v>
      </c>
      <c r="B1197">
        <v>1967</v>
      </c>
      <c r="C1197">
        <v>15.987993604802558</v>
      </c>
    </row>
    <row r="1198" spans="1:3" x14ac:dyDescent="0.35">
      <c r="A1198" t="s">
        <v>28</v>
      </c>
      <c r="B1198">
        <v>1968</v>
      </c>
      <c r="C1198">
        <v>16.36599345360262</v>
      </c>
    </row>
    <row r="1199" spans="1:3" x14ac:dyDescent="0.35">
      <c r="A1199" t="s">
        <v>28</v>
      </c>
      <c r="B1199">
        <v>1969</v>
      </c>
      <c r="C1199">
        <v>15.749993700002522</v>
      </c>
    </row>
    <row r="1200" spans="1:3" x14ac:dyDescent="0.35">
      <c r="A1200" t="s">
        <v>28</v>
      </c>
      <c r="B1200">
        <v>1970</v>
      </c>
      <c r="C1200">
        <v>17.023993190402724</v>
      </c>
    </row>
    <row r="1201" spans="1:3" x14ac:dyDescent="0.35">
      <c r="A1201" t="s">
        <v>28</v>
      </c>
      <c r="B1201">
        <v>1971</v>
      </c>
      <c r="C1201">
        <v>22.077991168803532</v>
      </c>
    </row>
    <row r="1202" spans="1:3" x14ac:dyDescent="0.35">
      <c r="A1202" t="s">
        <v>28</v>
      </c>
      <c r="B1202">
        <v>1972</v>
      </c>
      <c r="C1202">
        <v>29.735988105604761</v>
      </c>
    </row>
    <row r="1203" spans="1:3" x14ac:dyDescent="0.35">
      <c r="A1203" t="s">
        <v>28</v>
      </c>
      <c r="B1203">
        <v>1973</v>
      </c>
      <c r="C1203">
        <v>37.319917155481612</v>
      </c>
    </row>
    <row r="1204" spans="1:3" x14ac:dyDescent="0.35">
      <c r="A1204" t="s">
        <v>28</v>
      </c>
      <c r="B1204">
        <v>1974</v>
      </c>
      <c r="C1204">
        <v>46.763683966356503</v>
      </c>
    </row>
    <row r="1205" spans="1:3" x14ac:dyDescent="0.35">
      <c r="A1205" t="s">
        <v>28</v>
      </c>
      <c r="B1205">
        <v>1975</v>
      </c>
      <c r="C1205">
        <v>54.090933232014969</v>
      </c>
    </row>
    <row r="1206" spans="1:3" x14ac:dyDescent="0.35">
      <c r="A1206" t="s">
        <v>28</v>
      </c>
      <c r="B1206">
        <v>1976</v>
      </c>
      <c r="C1206">
        <v>75.910048116799771</v>
      </c>
    </row>
    <row r="1207" spans="1:3" x14ac:dyDescent="0.35">
      <c r="A1207" t="s">
        <v>28</v>
      </c>
      <c r="B1207">
        <v>1977</v>
      </c>
      <c r="C1207">
        <v>147.76670500787768</v>
      </c>
    </row>
    <row r="1208" spans="1:3" x14ac:dyDescent="0.35">
      <c r="A1208" t="s">
        <v>28</v>
      </c>
      <c r="B1208">
        <v>1978</v>
      </c>
      <c r="C1208">
        <v>239.47586999215977</v>
      </c>
    </row>
    <row r="1209" spans="1:3" x14ac:dyDescent="0.35">
      <c r="A1209" t="s">
        <v>28</v>
      </c>
      <c r="B1209">
        <v>1979</v>
      </c>
      <c r="C1209">
        <v>291.02472004505495</v>
      </c>
    </row>
    <row r="1210" spans="1:3" x14ac:dyDescent="0.35">
      <c r="A1210" t="s">
        <v>28</v>
      </c>
      <c r="B1210">
        <v>1980</v>
      </c>
      <c r="C1210">
        <v>271.69115615637872</v>
      </c>
    </row>
    <row r="1211" spans="1:3" x14ac:dyDescent="0.35">
      <c r="A1211" t="s">
        <v>28</v>
      </c>
      <c r="B1211">
        <v>1981</v>
      </c>
      <c r="C1211">
        <v>241.17159436308376</v>
      </c>
    </row>
    <row r="1212" spans="1:3" x14ac:dyDescent="0.35">
      <c r="A1212" t="s">
        <v>28</v>
      </c>
      <c r="B1212">
        <v>1982</v>
      </c>
      <c r="C1212">
        <v>243.72156047718889</v>
      </c>
    </row>
    <row r="1213" spans="1:3" x14ac:dyDescent="0.35">
      <c r="A1213" t="s">
        <v>28</v>
      </c>
      <c r="B1213">
        <v>1983</v>
      </c>
      <c r="C1213">
        <v>208.69173271231642</v>
      </c>
    </row>
    <row r="1214" spans="1:3" x14ac:dyDescent="0.35">
      <c r="A1214" t="s">
        <v>28</v>
      </c>
      <c r="B1214">
        <v>1984</v>
      </c>
      <c r="C1214">
        <v>175.00468297962382</v>
      </c>
    </row>
    <row r="1215" spans="1:3" x14ac:dyDescent="0.35">
      <c r="A1215" t="s">
        <v>28</v>
      </c>
      <c r="B1215">
        <v>1985</v>
      </c>
      <c r="C1215">
        <v>145.78173209754078</v>
      </c>
    </row>
    <row r="1216" spans="1:3" x14ac:dyDescent="0.35">
      <c r="A1216" t="s">
        <v>28</v>
      </c>
      <c r="B1216">
        <v>1986</v>
      </c>
      <c r="C1216">
        <v>181.25566231349032</v>
      </c>
    </row>
    <row r="1217" spans="1:3" x14ac:dyDescent="0.35">
      <c r="A1217" t="s">
        <v>28</v>
      </c>
      <c r="B1217">
        <v>1987</v>
      </c>
      <c r="C1217">
        <v>249.81008234829378</v>
      </c>
    </row>
    <row r="1218" spans="1:3" x14ac:dyDescent="0.35">
      <c r="A1218" t="s">
        <v>28</v>
      </c>
      <c r="B1218">
        <v>1988</v>
      </c>
      <c r="C1218">
        <v>250.94240749192824</v>
      </c>
    </row>
    <row r="1219" spans="1:3" x14ac:dyDescent="0.35">
      <c r="A1219" t="s">
        <v>28</v>
      </c>
      <c r="B1219">
        <v>1989</v>
      </c>
      <c r="C1219">
        <v>228.6061489852959</v>
      </c>
    </row>
    <row r="1220" spans="1:3" x14ac:dyDescent="0.35">
      <c r="A1220" t="s">
        <v>28</v>
      </c>
      <c r="B1220">
        <v>1990</v>
      </c>
      <c r="C1220">
        <v>246.4564386335469</v>
      </c>
    </row>
    <row r="1221" spans="1:3" x14ac:dyDescent="0.35">
      <c r="A1221" t="s">
        <v>28</v>
      </c>
      <c r="B1221">
        <v>1991</v>
      </c>
      <c r="C1221">
        <v>191.90850628364942</v>
      </c>
    </row>
    <row r="1222" spans="1:3" x14ac:dyDescent="0.35">
      <c r="A1222" t="s">
        <v>28</v>
      </c>
      <c r="B1222">
        <v>1992</v>
      </c>
      <c r="C1222">
        <v>156.03660202130564</v>
      </c>
    </row>
    <row r="1223" spans="1:3" x14ac:dyDescent="0.35">
      <c r="A1223" t="s">
        <v>28</v>
      </c>
      <c r="B1223">
        <v>1993</v>
      </c>
      <c r="C1223">
        <v>105.70452731231886</v>
      </c>
    </row>
    <row r="1224" spans="1:3" x14ac:dyDescent="0.35">
      <c r="A1224" t="s">
        <v>28</v>
      </c>
      <c r="B1224">
        <v>1994</v>
      </c>
      <c r="C1224">
        <v>117.33148262462845</v>
      </c>
    </row>
    <row r="1225" spans="1:3" x14ac:dyDescent="0.35">
      <c r="A1225" t="s">
        <v>28</v>
      </c>
      <c r="B1225">
        <v>1995</v>
      </c>
      <c r="C1225">
        <v>149.09643825175289</v>
      </c>
    </row>
    <row r="1226" spans="1:3" x14ac:dyDescent="0.35">
      <c r="A1226" t="s">
        <v>28</v>
      </c>
      <c r="B1226">
        <v>1996</v>
      </c>
      <c r="C1226">
        <v>170.80481625635343</v>
      </c>
    </row>
    <row r="1227" spans="1:3" x14ac:dyDescent="0.35">
      <c r="A1227" t="s">
        <v>28</v>
      </c>
      <c r="B1227">
        <v>1997</v>
      </c>
      <c r="C1227">
        <v>175.83489693828557</v>
      </c>
    </row>
    <row r="1228" spans="1:3" x14ac:dyDescent="0.35">
      <c r="A1228" t="s">
        <v>28</v>
      </c>
      <c r="B1228">
        <v>1998</v>
      </c>
      <c r="C1228">
        <v>171.96401327221795</v>
      </c>
    </row>
    <row r="1229" spans="1:3" x14ac:dyDescent="0.35">
      <c r="A1229" t="s">
        <v>28</v>
      </c>
      <c r="B1229">
        <v>1999</v>
      </c>
      <c r="C1229">
        <v>151.91777744283067</v>
      </c>
    </row>
    <row r="1230" spans="1:3" x14ac:dyDescent="0.35">
      <c r="A1230" t="s">
        <v>28</v>
      </c>
      <c r="B1230">
        <v>2000</v>
      </c>
      <c r="C1230">
        <v>165.58473524952248</v>
      </c>
    </row>
    <row r="1231" spans="1:3" x14ac:dyDescent="0.35">
      <c r="A1231" t="s">
        <v>28</v>
      </c>
      <c r="B1231">
        <v>2001</v>
      </c>
      <c r="C1231">
        <v>195.36500549875768</v>
      </c>
    </row>
    <row r="1232" spans="1:3" x14ac:dyDescent="0.35">
      <c r="A1232" t="s">
        <v>28</v>
      </c>
      <c r="B1232">
        <v>2002</v>
      </c>
      <c r="C1232">
        <v>213.89450800072638</v>
      </c>
    </row>
    <row r="1233" spans="1:3" x14ac:dyDescent="0.35">
      <c r="A1233" t="s">
        <v>28</v>
      </c>
      <c r="B1233">
        <v>2003</v>
      </c>
      <c r="C1233">
        <v>245.93866381512757</v>
      </c>
    </row>
    <row r="1234" spans="1:3" x14ac:dyDescent="0.35">
      <c r="A1234" t="s">
        <v>28</v>
      </c>
      <c r="B1234">
        <v>2004</v>
      </c>
      <c r="C1234">
        <v>259.80784071518519</v>
      </c>
    </row>
    <row r="1235" spans="1:3" x14ac:dyDescent="0.35">
      <c r="A1235" t="s">
        <v>28</v>
      </c>
      <c r="B1235">
        <v>2005</v>
      </c>
      <c r="C1235">
        <v>316.79948540185114</v>
      </c>
    </row>
    <row r="1236" spans="1:3" x14ac:dyDescent="0.35">
      <c r="A1236" t="s">
        <v>28</v>
      </c>
      <c r="B1236">
        <v>2006</v>
      </c>
      <c r="C1236">
        <v>375.80720324878502</v>
      </c>
    </row>
    <row r="1237" spans="1:3" x14ac:dyDescent="0.35">
      <c r="A1237" t="s">
        <v>28</v>
      </c>
      <c r="B1237">
        <v>2007</v>
      </c>
      <c r="C1237">
        <v>494.68489666892464</v>
      </c>
    </row>
    <row r="1238" spans="1:3" x14ac:dyDescent="0.35">
      <c r="A1238" t="s">
        <v>28</v>
      </c>
      <c r="B1238">
        <v>2008</v>
      </c>
      <c r="C1238">
        <v>580.01194067824792</v>
      </c>
    </row>
    <row r="1239" spans="1:3" x14ac:dyDescent="0.35">
      <c r="A1239" t="s">
        <v>28</v>
      </c>
      <c r="B1239">
        <v>2009</v>
      </c>
      <c r="C1239">
        <v>578.07167235494876</v>
      </c>
    </row>
    <row r="1240" spans="1:3" x14ac:dyDescent="0.35">
      <c r="A1240" t="s">
        <v>28</v>
      </c>
      <c r="B1240">
        <v>2010</v>
      </c>
      <c r="C1240">
        <v>622.04984779107747</v>
      </c>
    </row>
    <row r="1241" spans="1:3" x14ac:dyDescent="0.35">
      <c r="A1241" t="s">
        <v>28</v>
      </c>
      <c r="B1241">
        <v>2011</v>
      </c>
      <c r="C1241">
        <v>646.67810671675068</v>
      </c>
    </row>
    <row r="1242" spans="1:3" x14ac:dyDescent="0.35">
      <c r="A1242" t="s">
        <v>28</v>
      </c>
      <c r="B1242">
        <v>2012</v>
      </c>
      <c r="C1242">
        <v>840.07258995665416</v>
      </c>
    </row>
    <row r="1243" spans="1:3" x14ac:dyDescent="0.35">
      <c r="A1243" t="s">
        <v>28</v>
      </c>
      <c r="B1243">
        <v>2013</v>
      </c>
      <c r="C1243">
        <v>860.5608961147384</v>
      </c>
    </row>
    <row r="1244" spans="1:3" x14ac:dyDescent="0.35">
      <c r="A1244" t="s">
        <v>28</v>
      </c>
      <c r="B1244">
        <v>2014</v>
      </c>
      <c r="C1244">
        <v>819.0426267995349</v>
      </c>
    </row>
    <row r="1245" spans="1:3" x14ac:dyDescent="0.35">
      <c r="A1245" t="s">
        <v>28</v>
      </c>
      <c r="B1245">
        <v>2015</v>
      </c>
      <c r="C1245">
        <v>843.66780279701084</v>
      </c>
    </row>
    <row r="1246" spans="1:3" x14ac:dyDescent="0.35">
      <c r="A1246" t="s">
        <v>28</v>
      </c>
      <c r="B1246">
        <v>2016</v>
      </c>
      <c r="C1246">
        <v>933.10300254957247</v>
      </c>
    </row>
    <row r="1247" spans="1:3" x14ac:dyDescent="0.35">
      <c r="A1247" t="s">
        <v>28</v>
      </c>
      <c r="B1247">
        <v>2017</v>
      </c>
      <c r="C1247">
        <v>1015.3847819758978</v>
      </c>
    </row>
    <row r="1248" spans="1:3" x14ac:dyDescent="0.35">
      <c r="A1248" t="s">
        <v>28</v>
      </c>
      <c r="B1248">
        <v>2018</v>
      </c>
      <c r="C1248">
        <v>1113.6483616451974</v>
      </c>
    </row>
    <row r="1249" spans="1:3" x14ac:dyDescent="0.35">
      <c r="A1249" t="s">
        <v>28</v>
      </c>
      <c r="B1249">
        <v>2019</v>
      </c>
      <c r="C1249">
        <v>1116.8724199131227</v>
      </c>
    </row>
    <row r="1250" spans="1:3" x14ac:dyDescent="0.35">
      <c r="A1250" t="s">
        <v>28</v>
      </c>
      <c r="B1250">
        <v>2020</v>
      </c>
      <c r="C1250">
        <v>1115.3217703236953</v>
      </c>
    </row>
    <row r="1251" spans="1:3" x14ac:dyDescent="0.35">
      <c r="A1251" t="s">
        <v>28</v>
      </c>
      <c r="B1251">
        <v>2021</v>
      </c>
      <c r="C1251">
        <v>1191.0351991616183</v>
      </c>
    </row>
    <row r="1252" spans="1:3" x14ac:dyDescent="0.35">
      <c r="A1252" t="s">
        <v>28</v>
      </c>
      <c r="B1252">
        <v>2022</v>
      </c>
      <c r="C1252">
        <v>1155.1795230193984</v>
      </c>
    </row>
    <row r="1253" spans="1:3" x14ac:dyDescent="0.35">
      <c r="A1253" t="s">
        <v>28</v>
      </c>
      <c r="B1253">
        <v>2023</v>
      </c>
      <c r="C1253">
        <v>1053.7955722424294</v>
      </c>
    </row>
    <row r="1254" spans="1:3" x14ac:dyDescent="0.35">
      <c r="A1254" t="s">
        <v>28</v>
      </c>
      <c r="B1254">
        <v>2024</v>
      </c>
      <c r="C1254">
        <v>1256.4299060494156</v>
      </c>
    </row>
    <row r="1255" spans="1:3" x14ac:dyDescent="0.35">
      <c r="A1255" t="s">
        <v>28</v>
      </c>
      <c r="B1255">
        <v>2025</v>
      </c>
      <c r="C1255">
        <v>1469.6841958712655</v>
      </c>
    </row>
    <row r="1256" spans="1:3" x14ac:dyDescent="0.35">
      <c r="A1256" t="s">
        <v>29</v>
      </c>
      <c r="B1256">
        <v>1976</v>
      </c>
      <c r="C1256">
        <v>2.2913755728438931</v>
      </c>
    </row>
    <row r="1257" spans="1:3" x14ac:dyDescent="0.35">
      <c r="A1257" t="s">
        <v>29</v>
      </c>
      <c r="B1257">
        <v>1977</v>
      </c>
      <c r="C1257">
        <v>2.7801256950314235</v>
      </c>
    </row>
    <row r="1258" spans="1:3" x14ac:dyDescent="0.35">
      <c r="A1258" t="s">
        <v>29</v>
      </c>
      <c r="B1258">
        <v>1978</v>
      </c>
      <c r="C1258">
        <v>4.013501003375251</v>
      </c>
    </row>
    <row r="1259" spans="1:3" x14ac:dyDescent="0.35">
      <c r="A1259" t="s">
        <v>29</v>
      </c>
      <c r="B1259">
        <v>1979</v>
      </c>
      <c r="C1259">
        <v>5.3709934289205874</v>
      </c>
    </row>
    <row r="1260" spans="1:3" x14ac:dyDescent="0.35">
      <c r="A1260" t="s">
        <v>29</v>
      </c>
      <c r="B1260">
        <v>1980</v>
      </c>
      <c r="C1260">
        <v>11.639193974582515</v>
      </c>
    </row>
    <row r="1261" spans="1:3" x14ac:dyDescent="0.35">
      <c r="A1261" t="s">
        <v>29</v>
      </c>
      <c r="B1261">
        <v>1981</v>
      </c>
      <c r="C1261">
        <v>12.392766954444758</v>
      </c>
    </row>
    <row r="1262" spans="1:3" x14ac:dyDescent="0.35">
      <c r="A1262" t="s">
        <v>29</v>
      </c>
      <c r="B1262">
        <v>1982</v>
      </c>
      <c r="C1262">
        <v>14.965648081634157</v>
      </c>
    </row>
    <row r="1263" spans="1:3" x14ac:dyDescent="0.35">
      <c r="A1263" t="s">
        <v>29</v>
      </c>
      <c r="B1263">
        <v>1983</v>
      </c>
      <c r="C1263">
        <v>14.069652634413426</v>
      </c>
    </row>
    <row r="1264" spans="1:3" x14ac:dyDescent="0.35">
      <c r="A1264" t="s">
        <v>29</v>
      </c>
      <c r="B1264">
        <v>1984</v>
      </c>
      <c r="C1264">
        <v>12.285803372919039</v>
      </c>
    </row>
    <row r="1265" spans="1:3" x14ac:dyDescent="0.35">
      <c r="A1265" t="s">
        <v>29</v>
      </c>
      <c r="B1265">
        <v>1985</v>
      </c>
      <c r="C1265">
        <v>10.667797385884855</v>
      </c>
    </row>
    <row r="1266" spans="1:3" x14ac:dyDescent="0.35">
      <c r="A1266" t="s">
        <v>29</v>
      </c>
      <c r="B1266">
        <v>1986</v>
      </c>
      <c r="C1266">
        <v>13.369627532242465</v>
      </c>
    </row>
    <row r="1267" spans="1:3" x14ac:dyDescent="0.35">
      <c r="A1267" t="s">
        <v>29</v>
      </c>
      <c r="B1267">
        <v>1987</v>
      </c>
      <c r="C1267">
        <v>18.111226258945109</v>
      </c>
    </row>
    <row r="1268" spans="1:3" x14ac:dyDescent="0.35">
      <c r="A1268" t="s">
        <v>29</v>
      </c>
      <c r="B1268">
        <v>1988</v>
      </c>
      <c r="C1268">
        <v>16.956458629319936</v>
      </c>
    </row>
    <row r="1269" spans="1:3" x14ac:dyDescent="0.35">
      <c r="A1269" t="s">
        <v>29</v>
      </c>
      <c r="B1269">
        <v>1989</v>
      </c>
      <c r="C1269">
        <v>22.610459529946468</v>
      </c>
    </row>
    <row r="1270" spans="1:3" x14ac:dyDescent="0.35">
      <c r="A1270" t="s">
        <v>29</v>
      </c>
      <c r="B1270">
        <v>1990</v>
      </c>
      <c r="C1270">
        <v>24.165932316064499</v>
      </c>
    </row>
    <row r="1271" spans="1:3" x14ac:dyDescent="0.35">
      <c r="A1271" t="s">
        <v>29</v>
      </c>
      <c r="B1271">
        <v>1991</v>
      </c>
      <c r="C1271">
        <v>22.308171454232035</v>
      </c>
    </row>
    <row r="1272" spans="1:3" x14ac:dyDescent="0.35">
      <c r="A1272" t="s">
        <v>29</v>
      </c>
      <c r="B1272">
        <v>1992</v>
      </c>
      <c r="C1272">
        <v>24.237292295609059</v>
      </c>
    </row>
    <row r="1273" spans="1:3" x14ac:dyDescent="0.35">
      <c r="A1273" t="s">
        <v>29</v>
      </c>
      <c r="B1273">
        <v>1993</v>
      </c>
      <c r="C1273">
        <v>22.140684387374762</v>
      </c>
    </row>
    <row r="1274" spans="1:3" x14ac:dyDescent="0.35">
      <c r="A1274" t="s">
        <v>29</v>
      </c>
      <c r="B1274">
        <v>1994</v>
      </c>
      <c r="C1274">
        <v>25.85332882730652</v>
      </c>
    </row>
    <row r="1275" spans="1:3" x14ac:dyDescent="0.35">
      <c r="A1275" t="s">
        <v>29</v>
      </c>
      <c r="B1275">
        <v>1995</v>
      </c>
      <c r="C1275">
        <v>34.373285471273114</v>
      </c>
    </row>
    <row r="1276" spans="1:3" x14ac:dyDescent="0.35">
      <c r="A1276" t="s">
        <v>29</v>
      </c>
      <c r="B1276">
        <v>1996</v>
      </c>
      <c r="C1276">
        <v>28.347308314047474</v>
      </c>
    </row>
    <row r="1277" spans="1:3" x14ac:dyDescent="0.35">
      <c r="A1277" t="s">
        <v>29</v>
      </c>
      <c r="B1277">
        <v>1997</v>
      </c>
      <c r="C1277">
        <v>28.700335940416146</v>
      </c>
    </row>
    <row r="1278" spans="1:3" x14ac:dyDescent="0.35">
      <c r="A1278" t="s">
        <v>29</v>
      </c>
      <c r="B1278">
        <v>1998</v>
      </c>
      <c r="C1278">
        <v>27.807021352029928</v>
      </c>
    </row>
    <row r="1279" spans="1:3" x14ac:dyDescent="0.35">
      <c r="A1279" t="s">
        <v>29</v>
      </c>
      <c r="B1279">
        <v>1999</v>
      </c>
      <c r="C1279">
        <v>34.078186686919345</v>
      </c>
    </row>
    <row r="1280" spans="1:3" x14ac:dyDescent="0.35">
      <c r="A1280" t="s">
        <v>29</v>
      </c>
      <c r="B1280">
        <v>2000</v>
      </c>
      <c r="C1280">
        <v>30.55550352097962</v>
      </c>
    </row>
    <row r="1281" spans="1:3" x14ac:dyDescent="0.35">
      <c r="A1281" t="s">
        <v>29</v>
      </c>
      <c r="B1281">
        <v>2001</v>
      </c>
      <c r="C1281">
        <v>23.390729430677485</v>
      </c>
    </row>
    <row r="1282" spans="1:3" x14ac:dyDescent="0.35">
      <c r="A1282" t="s">
        <v>29</v>
      </c>
      <c r="B1282">
        <v>2002</v>
      </c>
      <c r="C1282">
        <v>19.559896401567258</v>
      </c>
    </row>
    <row r="1283" spans="1:3" x14ac:dyDescent="0.35">
      <c r="A1283" t="s">
        <v>29</v>
      </c>
      <c r="B1283">
        <v>2003</v>
      </c>
      <c r="C1283">
        <v>27.363759542615423</v>
      </c>
    </row>
    <row r="1284" spans="1:3" x14ac:dyDescent="0.35">
      <c r="A1284" t="s">
        <v>29</v>
      </c>
      <c r="B1284">
        <v>2004</v>
      </c>
      <c r="C1284">
        <v>31.386955101560599</v>
      </c>
    </row>
    <row r="1285" spans="1:3" x14ac:dyDescent="0.35">
      <c r="A1285" t="s">
        <v>29</v>
      </c>
      <c r="B1285">
        <v>2005</v>
      </c>
      <c r="C1285">
        <v>33.619893919642479</v>
      </c>
    </row>
    <row r="1286" spans="1:3" x14ac:dyDescent="0.35">
      <c r="A1286" t="s">
        <v>29</v>
      </c>
      <c r="B1286">
        <v>2006</v>
      </c>
      <c r="C1286">
        <v>35.224579306067298</v>
      </c>
    </row>
    <row r="1287" spans="1:3" x14ac:dyDescent="0.35">
      <c r="A1287" t="s">
        <v>29</v>
      </c>
      <c r="B1287">
        <v>2007</v>
      </c>
      <c r="C1287">
        <v>39.83467156444587</v>
      </c>
    </row>
    <row r="1288" spans="1:3" x14ac:dyDescent="0.35">
      <c r="A1288" t="s">
        <v>29</v>
      </c>
      <c r="B1288">
        <v>2008</v>
      </c>
      <c r="C1288">
        <v>27.350681860548445</v>
      </c>
    </row>
    <row r="1289" spans="1:3" x14ac:dyDescent="0.35">
      <c r="A1289" t="s">
        <v>29</v>
      </c>
      <c r="B1289">
        <v>2009</v>
      </c>
      <c r="C1289">
        <v>47.399768931289508</v>
      </c>
    </row>
    <row r="1290" spans="1:3" x14ac:dyDescent="0.35">
      <c r="A1290" t="s">
        <v>29</v>
      </c>
      <c r="B1290">
        <v>2010</v>
      </c>
      <c r="C1290">
        <v>70.661037368088913</v>
      </c>
    </row>
    <row r="1291" spans="1:3" x14ac:dyDescent="0.35">
      <c r="A1291" t="s">
        <v>29</v>
      </c>
      <c r="B1291">
        <v>2011</v>
      </c>
      <c r="C1291">
        <v>58.169320753105922</v>
      </c>
    </row>
    <row r="1292" spans="1:3" x14ac:dyDescent="0.35">
      <c r="A1292" t="s">
        <v>29</v>
      </c>
      <c r="B1292">
        <v>2012</v>
      </c>
      <c r="C1292">
        <v>53.240145822700931</v>
      </c>
    </row>
    <row r="1293" spans="1:3" x14ac:dyDescent="0.35">
      <c r="A1293" t="s">
        <v>29</v>
      </c>
      <c r="B1293">
        <v>2013</v>
      </c>
      <c r="C1293">
        <v>47.941183172346932</v>
      </c>
    </row>
    <row r="1294" spans="1:3" x14ac:dyDescent="0.35">
      <c r="A1294" t="s">
        <v>29</v>
      </c>
      <c r="B1294">
        <v>2014</v>
      </c>
      <c r="C1294">
        <v>47.693396028234787</v>
      </c>
    </row>
    <row r="1295" spans="1:3" x14ac:dyDescent="0.35">
      <c r="A1295" t="s">
        <v>29</v>
      </c>
      <c r="B1295">
        <v>2015</v>
      </c>
      <c r="C1295">
        <v>44.025926249765547</v>
      </c>
    </row>
    <row r="1296" spans="1:3" x14ac:dyDescent="0.35">
      <c r="A1296" t="s">
        <v>29</v>
      </c>
      <c r="B1296">
        <v>2016</v>
      </c>
      <c r="C1296">
        <v>41.489543364854306</v>
      </c>
    </row>
    <row r="1297" spans="1:3" x14ac:dyDescent="0.35">
      <c r="A1297" t="s">
        <v>29</v>
      </c>
      <c r="B1297">
        <v>2017</v>
      </c>
      <c r="C1297">
        <v>52.594810372597181</v>
      </c>
    </row>
    <row r="1298" spans="1:3" x14ac:dyDescent="0.35">
      <c r="A1298" t="s">
        <v>29</v>
      </c>
      <c r="B1298">
        <v>2018</v>
      </c>
      <c r="C1298">
        <v>51.06434775482326</v>
      </c>
    </row>
    <row r="1299" spans="1:3" x14ac:dyDescent="0.35">
      <c r="A1299" t="s">
        <v>29</v>
      </c>
      <c r="B1299">
        <v>2019</v>
      </c>
      <c r="C1299">
        <v>44.845967462789893</v>
      </c>
    </row>
    <row r="1300" spans="1:3" x14ac:dyDescent="0.35">
      <c r="A1300" t="s">
        <v>29</v>
      </c>
      <c r="B1300">
        <v>2020</v>
      </c>
      <c r="C1300">
        <v>38.618836531454946</v>
      </c>
    </row>
    <row r="1301" spans="1:3" x14ac:dyDescent="0.35">
      <c r="A1301" t="s">
        <v>29</v>
      </c>
      <c r="B1301">
        <v>2021</v>
      </c>
      <c r="C1301">
        <v>37.044054950260545</v>
      </c>
    </row>
    <row r="1302" spans="1:3" x14ac:dyDescent="0.35">
      <c r="A1302" t="s">
        <v>29</v>
      </c>
      <c r="B1302">
        <v>2022</v>
      </c>
      <c r="C1302">
        <v>34.668499897551811</v>
      </c>
    </row>
    <row r="1303" spans="1:3" x14ac:dyDescent="0.35">
      <c r="A1303" t="s">
        <v>29</v>
      </c>
      <c r="B1303">
        <v>2023</v>
      </c>
      <c r="C1303">
        <v>34.422816785270008</v>
      </c>
    </row>
    <row r="1304" spans="1:3" x14ac:dyDescent="0.35">
      <c r="A1304" t="s">
        <v>29</v>
      </c>
      <c r="B1304">
        <v>2024</v>
      </c>
      <c r="C1304">
        <v>36.702087872313868</v>
      </c>
    </row>
    <row r="1305" spans="1:3" x14ac:dyDescent="0.35">
      <c r="A1305" t="s">
        <v>29</v>
      </c>
      <c r="B1305">
        <v>2025</v>
      </c>
      <c r="C1305">
        <v>39.909364883225514</v>
      </c>
    </row>
    <row r="1306" spans="1:3" x14ac:dyDescent="0.35">
      <c r="A1306" t="s">
        <v>30</v>
      </c>
      <c r="B1306">
        <v>1965</v>
      </c>
      <c r="C1306">
        <v>2.7</v>
      </c>
    </row>
    <row r="1307" spans="1:3" x14ac:dyDescent="0.35">
      <c r="A1307" t="s">
        <v>30</v>
      </c>
      <c r="B1307">
        <v>1966</v>
      </c>
      <c r="C1307">
        <v>2.8</v>
      </c>
    </row>
    <row r="1308" spans="1:3" x14ac:dyDescent="0.35">
      <c r="A1308" t="s">
        <v>30</v>
      </c>
      <c r="B1308">
        <v>1967</v>
      </c>
      <c r="C1308">
        <v>3.05</v>
      </c>
    </row>
    <row r="1309" spans="1:3" x14ac:dyDescent="0.35">
      <c r="A1309" t="s">
        <v>30</v>
      </c>
      <c r="B1309">
        <v>1968</v>
      </c>
      <c r="C1309">
        <v>3.05</v>
      </c>
    </row>
    <row r="1310" spans="1:3" x14ac:dyDescent="0.35">
      <c r="A1310" t="s">
        <v>30</v>
      </c>
      <c r="B1310">
        <v>1969</v>
      </c>
      <c r="C1310">
        <v>3.05</v>
      </c>
    </row>
    <row r="1311" spans="1:3" x14ac:dyDescent="0.35">
      <c r="A1311" t="s">
        <v>30</v>
      </c>
      <c r="B1311">
        <v>1970</v>
      </c>
      <c r="C1311">
        <v>3.55</v>
      </c>
    </row>
    <row r="1312" spans="1:3" x14ac:dyDescent="0.35">
      <c r="A1312" t="s">
        <v>30</v>
      </c>
      <c r="B1312">
        <v>1971</v>
      </c>
      <c r="C1312">
        <v>4.05</v>
      </c>
    </row>
    <row r="1313" spans="1:3" x14ac:dyDescent="0.35">
      <c r="A1313" t="s">
        <v>30</v>
      </c>
      <c r="B1313">
        <v>1972</v>
      </c>
      <c r="C1313">
        <v>4.05</v>
      </c>
    </row>
    <row r="1314" spans="1:3" x14ac:dyDescent="0.35">
      <c r="A1314" t="s">
        <v>30</v>
      </c>
      <c r="B1314">
        <v>1973</v>
      </c>
      <c r="C1314">
        <v>3.75</v>
      </c>
    </row>
    <row r="1315" spans="1:3" x14ac:dyDescent="0.35">
      <c r="A1315" t="s">
        <v>30</v>
      </c>
      <c r="B1315">
        <v>1974</v>
      </c>
      <c r="C1315">
        <v>4.55</v>
      </c>
    </row>
    <row r="1316" spans="1:3" x14ac:dyDescent="0.35">
      <c r="A1316" t="s">
        <v>30</v>
      </c>
      <c r="B1316">
        <v>1975</v>
      </c>
      <c r="C1316">
        <v>5.5</v>
      </c>
    </row>
    <row r="1317" spans="1:3" x14ac:dyDescent="0.35">
      <c r="A1317" t="s">
        <v>30</v>
      </c>
      <c r="B1317">
        <v>1976</v>
      </c>
      <c r="C1317">
        <v>6.4</v>
      </c>
    </row>
    <row r="1318" spans="1:3" x14ac:dyDescent="0.35">
      <c r="A1318" t="s">
        <v>30</v>
      </c>
      <c r="B1318">
        <v>1977</v>
      </c>
      <c r="C1318">
        <v>7.75</v>
      </c>
    </row>
    <row r="1319" spans="1:3" x14ac:dyDescent="0.35">
      <c r="A1319" t="s">
        <v>30</v>
      </c>
      <c r="B1319">
        <v>1978</v>
      </c>
      <c r="C1319">
        <v>8.9</v>
      </c>
    </row>
    <row r="1320" spans="1:3" x14ac:dyDescent="0.35">
      <c r="A1320" t="s">
        <v>30</v>
      </c>
      <c r="B1320">
        <v>1979</v>
      </c>
      <c r="C1320">
        <v>9.4</v>
      </c>
    </row>
    <row r="1321" spans="1:3" x14ac:dyDescent="0.35">
      <c r="A1321" t="s">
        <v>30</v>
      </c>
      <c r="B1321">
        <v>1980</v>
      </c>
      <c r="C1321">
        <v>12.75</v>
      </c>
    </row>
    <row r="1322" spans="1:3" x14ac:dyDescent="0.35">
      <c r="A1322" t="s">
        <v>30</v>
      </c>
      <c r="B1322">
        <v>1981</v>
      </c>
      <c r="C1322">
        <v>26.35</v>
      </c>
    </row>
    <row r="1323" spans="1:3" x14ac:dyDescent="0.35">
      <c r="A1323" t="s">
        <v>30</v>
      </c>
      <c r="B1323">
        <v>1982</v>
      </c>
      <c r="C1323">
        <v>43.35</v>
      </c>
    </row>
    <row r="1324" spans="1:3" x14ac:dyDescent="0.35">
      <c r="A1324" t="s">
        <v>30</v>
      </c>
      <c r="B1324">
        <v>1983</v>
      </c>
      <c r="C1324">
        <v>38.75</v>
      </c>
    </row>
    <row r="1325" spans="1:3" x14ac:dyDescent="0.35">
      <c r="A1325" t="s">
        <v>30</v>
      </c>
      <c r="B1325">
        <v>1984</v>
      </c>
      <c r="C1325">
        <v>24.95</v>
      </c>
    </row>
    <row r="1326" spans="1:3" x14ac:dyDescent="0.35">
      <c r="A1326" t="s">
        <v>30</v>
      </c>
      <c r="B1326">
        <v>1985</v>
      </c>
      <c r="C1326">
        <v>25.15</v>
      </c>
    </row>
    <row r="1327" spans="1:3" x14ac:dyDescent="0.35">
      <c r="A1327" t="s">
        <v>30</v>
      </c>
      <c r="B1327">
        <v>1986</v>
      </c>
      <c r="C1327">
        <v>24.35</v>
      </c>
    </row>
    <row r="1328" spans="1:3" x14ac:dyDescent="0.35">
      <c r="A1328" t="s">
        <v>30</v>
      </c>
      <c r="B1328">
        <v>1987</v>
      </c>
      <c r="C1328">
        <v>22.25</v>
      </c>
    </row>
    <row r="1329" spans="1:3" x14ac:dyDescent="0.35">
      <c r="A1329" t="s">
        <v>30</v>
      </c>
      <c r="B1329">
        <v>1988</v>
      </c>
      <c r="C1329">
        <v>25</v>
      </c>
    </row>
    <row r="1330" spans="1:3" x14ac:dyDescent="0.35">
      <c r="A1330" t="s">
        <v>30</v>
      </c>
      <c r="B1330">
        <v>1991</v>
      </c>
      <c r="C1330">
        <v>25</v>
      </c>
    </row>
    <row r="1331" spans="1:3" x14ac:dyDescent="0.35">
      <c r="A1331" t="s">
        <v>30</v>
      </c>
      <c r="B1331">
        <v>1992</v>
      </c>
      <c r="C1331">
        <v>22.65</v>
      </c>
    </row>
    <row r="1332" spans="1:3" x14ac:dyDescent="0.35">
      <c r="A1332" t="s">
        <v>30</v>
      </c>
      <c r="B1332">
        <v>1993</v>
      </c>
      <c r="C1332">
        <v>30.45</v>
      </c>
    </row>
    <row r="1333" spans="1:3" x14ac:dyDescent="0.35">
      <c r="A1333" t="s">
        <v>30</v>
      </c>
      <c r="B1333">
        <v>1994</v>
      </c>
      <c r="C1333">
        <v>39.299999999999997</v>
      </c>
    </row>
    <row r="1334" spans="1:3" x14ac:dyDescent="0.35">
      <c r="A1334" t="s">
        <v>30</v>
      </c>
      <c r="B1334">
        <v>2004</v>
      </c>
      <c r="C1334">
        <v>3.1819999999999999</v>
      </c>
    </row>
    <row r="1335" spans="1:3" x14ac:dyDescent="0.35">
      <c r="A1335" t="s">
        <v>30</v>
      </c>
      <c r="B1335">
        <v>2005</v>
      </c>
      <c r="C1335">
        <v>8.0250000000000004</v>
      </c>
    </row>
    <row r="1336" spans="1:3" x14ac:dyDescent="0.35">
      <c r="A1336" t="s">
        <v>30</v>
      </c>
      <c r="B1336">
        <v>2006</v>
      </c>
      <c r="C1336">
        <v>3.9249999999999998</v>
      </c>
    </row>
    <row r="1337" spans="1:3" x14ac:dyDescent="0.35">
      <c r="A1337" t="s">
        <v>30</v>
      </c>
      <c r="B1337">
        <v>2007</v>
      </c>
      <c r="C1337">
        <v>3.4860000000000002</v>
      </c>
    </row>
    <row r="1338" spans="1:3" x14ac:dyDescent="0.35">
      <c r="A1338" t="s">
        <v>30</v>
      </c>
      <c r="B1338">
        <v>2008</v>
      </c>
      <c r="C1338">
        <v>3.907</v>
      </c>
    </row>
    <row r="1339" spans="1:3" x14ac:dyDescent="0.35">
      <c r="A1339" t="s">
        <v>30</v>
      </c>
      <c r="B1339">
        <v>2009</v>
      </c>
      <c r="C1339">
        <v>7.1929999999999996</v>
      </c>
    </row>
    <row r="1340" spans="1:3" x14ac:dyDescent="0.35">
      <c r="A1340" t="s">
        <v>30</v>
      </c>
      <c r="B1340">
        <v>2010</v>
      </c>
      <c r="C1340">
        <v>8.4580000000000002</v>
      </c>
    </row>
    <row r="1341" spans="1:3" x14ac:dyDescent="0.35">
      <c r="A1341" t="s">
        <v>30</v>
      </c>
      <c r="B1341">
        <v>2011</v>
      </c>
      <c r="C1341">
        <v>13.271000000000001</v>
      </c>
    </row>
    <row r="1342" spans="1:3" x14ac:dyDescent="0.35">
      <c r="A1342" t="s">
        <v>30</v>
      </c>
      <c r="B1342">
        <v>2012</v>
      </c>
      <c r="C1342">
        <v>15.179</v>
      </c>
    </row>
    <row r="1343" spans="1:3" x14ac:dyDescent="0.35">
      <c r="A1343" t="s">
        <v>30</v>
      </c>
      <c r="B1343">
        <v>2013</v>
      </c>
      <c r="C1343">
        <v>15.111499999999999</v>
      </c>
    </row>
    <row r="1344" spans="1:3" x14ac:dyDescent="0.35">
      <c r="A1344" t="s">
        <v>30</v>
      </c>
      <c r="B1344">
        <v>2014</v>
      </c>
      <c r="C1344">
        <v>14.531000000000001</v>
      </c>
    </row>
    <row r="1345" spans="1:3" x14ac:dyDescent="0.35">
      <c r="A1345" t="s">
        <v>30</v>
      </c>
      <c r="B1345">
        <v>2015</v>
      </c>
      <c r="C1345">
        <v>14.798999999999999</v>
      </c>
    </row>
    <row r="1346" spans="1:3" x14ac:dyDescent="0.35">
      <c r="A1346" t="s">
        <v>30</v>
      </c>
      <c r="B1346">
        <v>2016</v>
      </c>
      <c r="C1346">
        <v>14.712</v>
      </c>
    </row>
    <row r="1347" spans="1:3" x14ac:dyDescent="0.35">
      <c r="A1347" t="s">
        <v>30</v>
      </c>
      <c r="B1347">
        <v>2017</v>
      </c>
      <c r="C1347">
        <v>13.3355</v>
      </c>
    </row>
    <row r="1348" spans="1:3" x14ac:dyDescent="0.35">
      <c r="A1348" t="s">
        <v>30</v>
      </c>
      <c r="B1348">
        <v>2018</v>
      </c>
      <c r="C1348">
        <v>13.228999999999999</v>
      </c>
    </row>
    <row r="1349" spans="1:3" x14ac:dyDescent="0.35">
      <c r="A1349" t="s">
        <v>30</v>
      </c>
      <c r="B1349">
        <v>2019</v>
      </c>
      <c r="C1349">
        <v>12.901</v>
      </c>
    </row>
    <row r="1350" spans="1:3" x14ac:dyDescent="0.35">
      <c r="A1350" t="s">
        <v>30</v>
      </c>
      <c r="B1350">
        <v>2020</v>
      </c>
      <c r="C1350">
        <v>12.901</v>
      </c>
    </row>
    <row r="1351" spans="1:3" x14ac:dyDescent="0.35">
      <c r="A1351" t="s">
        <v>30</v>
      </c>
      <c r="B1351">
        <v>2021</v>
      </c>
      <c r="C1351">
        <v>29.722999999999999</v>
      </c>
    </row>
    <row r="1352" spans="1:3" x14ac:dyDescent="0.35">
      <c r="A1352" t="s">
        <v>30</v>
      </c>
      <c r="B1352">
        <v>2022</v>
      </c>
      <c r="C1352">
        <v>52.198</v>
      </c>
    </row>
    <row r="1353" spans="1:3" x14ac:dyDescent="0.35">
      <c r="A1353" t="s">
        <v>30</v>
      </c>
      <c r="B1353">
        <v>2023</v>
      </c>
      <c r="C1353">
        <v>62.518000000000001</v>
      </c>
    </row>
    <row r="1354" spans="1:3" x14ac:dyDescent="0.35">
      <c r="A1354" t="s">
        <v>30</v>
      </c>
      <c r="B1354">
        <v>2024</v>
      </c>
      <c r="C1354">
        <v>33.825000000000003</v>
      </c>
    </row>
    <row r="1355" spans="1:3" x14ac:dyDescent="0.35">
      <c r="A1355" t="s">
        <v>30</v>
      </c>
      <c r="B1355">
        <v>2025</v>
      </c>
      <c r="C1355">
        <v>44.21</v>
      </c>
    </row>
    <row r="1356" spans="1:3" x14ac:dyDescent="0.35">
      <c r="A1356" t="s">
        <v>31</v>
      </c>
      <c r="B1356">
        <v>1960</v>
      </c>
      <c r="C1356">
        <v>1.6041935888970358</v>
      </c>
    </row>
    <row r="1357" spans="1:3" x14ac:dyDescent="0.35">
      <c r="A1357" t="s">
        <v>31</v>
      </c>
      <c r="B1357">
        <v>1961</v>
      </c>
      <c r="C1357">
        <v>8.4827812503797801</v>
      </c>
    </row>
    <row r="1358" spans="1:3" x14ac:dyDescent="0.35">
      <c r="A1358" t="s">
        <v>31</v>
      </c>
      <c r="B1358">
        <v>1962</v>
      </c>
      <c r="C1358">
        <v>9.1795522031330368</v>
      </c>
    </row>
    <row r="1359" spans="1:3" x14ac:dyDescent="0.35">
      <c r="A1359" t="s">
        <v>31</v>
      </c>
      <c r="B1359">
        <v>1963</v>
      </c>
      <c r="C1359">
        <v>8.9567475380084502</v>
      </c>
    </row>
    <row r="1360" spans="1:3" x14ac:dyDescent="0.35">
      <c r="A1360" t="s">
        <v>31</v>
      </c>
      <c r="B1360">
        <v>1964</v>
      </c>
      <c r="C1360">
        <v>9.4550197891052576</v>
      </c>
    </row>
    <row r="1361" spans="1:3" x14ac:dyDescent="0.35">
      <c r="A1361" t="s">
        <v>31</v>
      </c>
      <c r="B1361">
        <v>1965</v>
      </c>
      <c r="C1361">
        <v>10.710827901625661</v>
      </c>
    </row>
    <row r="1362" spans="1:3" x14ac:dyDescent="0.35">
      <c r="A1362" t="s">
        <v>31</v>
      </c>
      <c r="B1362">
        <v>1966</v>
      </c>
      <c r="C1362">
        <v>11.342782951797222</v>
      </c>
    </row>
    <row r="1363" spans="1:3" x14ac:dyDescent="0.35">
      <c r="A1363" t="s">
        <v>31</v>
      </c>
      <c r="B1363">
        <v>1967</v>
      </c>
      <c r="C1363">
        <v>12.112471794954892</v>
      </c>
    </row>
    <row r="1364" spans="1:3" x14ac:dyDescent="0.35">
      <c r="A1364" t="s">
        <v>31</v>
      </c>
      <c r="B1364">
        <v>1968</v>
      </c>
      <c r="C1364">
        <v>13.044200394566806</v>
      </c>
    </row>
    <row r="1365" spans="1:3" x14ac:dyDescent="0.35">
      <c r="A1365" t="s">
        <v>31</v>
      </c>
      <c r="B1365">
        <v>1969</v>
      </c>
      <c r="C1365">
        <v>13.014516191136266</v>
      </c>
    </row>
    <row r="1366" spans="1:3" x14ac:dyDescent="0.35">
      <c r="A1366" t="s">
        <v>31</v>
      </c>
      <c r="B1366">
        <v>1970</v>
      </c>
      <c r="C1366">
        <v>12.134982778767021</v>
      </c>
    </row>
    <row r="1367" spans="1:3" x14ac:dyDescent="0.35">
      <c r="A1367" t="s">
        <v>31</v>
      </c>
      <c r="B1367">
        <v>1971</v>
      </c>
      <c r="C1367">
        <v>12.755677358943318</v>
      </c>
    </row>
    <row r="1368" spans="1:3" x14ac:dyDescent="0.35">
      <c r="A1368" t="s">
        <v>31</v>
      </c>
      <c r="B1368">
        <v>1972</v>
      </c>
      <c r="C1368">
        <v>16.129256248846847</v>
      </c>
    </row>
    <row r="1369" spans="1:3" x14ac:dyDescent="0.35">
      <c r="A1369" t="s">
        <v>31</v>
      </c>
      <c r="B1369">
        <v>1973</v>
      </c>
      <c r="C1369">
        <v>20.346496118014166</v>
      </c>
    </row>
    <row r="1370" spans="1:3" x14ac:dyDescent="0.35">
      <c r="A1370" t="s">
        <v>31</v>
      </c>
      <c r="B1370">
        <v>1974</v>
      </c>
      <c r="C1370">
        <v>25.882465356756342</v>
      </c>
    </row>
    <row r="1371" spans="1:3" x14ac:dyDescent="0.35">
      <c r="A1371" t="s">
        <v>31</v>
      </c>
      <c r="B1371">
        <v>1975</v>
      </c>
      <c r="C1371">
        <v>30.189630072044494</v>
      </c>
    </row>
    <row r="1372" spans="1:3" x14ac:dyDescent="0.35">
      <c r="A1372" t="s">
        <v>31</v>
      </c>
      <c r="B1372">
        <v>1976</v>
      </c>
      <c r="C1372">
        <v>33.040454154538928</v>
      </c>
    </row>
    <row r="1373" spans="1:3" x14ac:dyDescent="0.35">
      <c r="A1373" t="s">
        <v>31</v>
      </c>
      <c r="B1373">
        <v>1977</v>
      </c>
      <c r="C1373">
        <v>43.959890670123755</v>
      </c>
    </row>
    <row r="1374" spans="1:3" x14ac:dyDescent="0.35">
      <c r="A1374" t="s">
        <v>31</v>
      </c>
      <c r="B1374">
        <v>1978</v>
      </c>
      <c r="C1374">
        <v>52.181427400234874</v>
      </c>
    </row>
    <row r="1375" spans="1:3" x14ac:dyDescent="0.35">
      <c r="A1375" t="s">
        <v>31</v>
      </c>
      <c r="B1375">
        <v>1979</v>
      </c>
      <c r="C1375">
        <v>81.891303632457536</v>
      </c>
    </row>
    <row r="1376" spans="1:3" x14ac:dyDescent="0.35">
      <c r="A1376" t="s">
        <v>31</v>
      </c>
      <c r="B1376">
        <v>1980</v>
      </c>
      <c r="C1376">
        <v>90.402004936612116</v>
      </c>
    </row>
    <row r="1377" spans="1:3" x14ac:dyDescent="0.35">
      <c r="A1377" t="s">
        <v>31</v>
      </c>
      <c r="B1377">
        <v>1981</v>
      </c>
      <c r="C1377">
        <v>86.482746692034951</v>
      </c>
    </row>
    <row r="1378" spans="1:3" x14ac:dyDescent="0.35">
      <c r="A1378" t="s">
        <v>31</v>
      </c>
      <c r="B1378">
        <v>1984</v>
      </c>
      <c r="C1378">
        <v>55.059872191729745</v>
      </c>
    </row>
    <row r="1379" spans="1:3" x14ac:dyDescent="0.35">
      <c r="A1379" t="s">
        <v>31</v>
      </c>
      <c r="B1379">
        <v>1985</v>
      </c>
      <c r="C1379">
        <v>50.869844145062075</v>
      </c>
    </row>
    <row r="1380" spans="1:3" x14ac:dyDescent="0.35">
      <c r="A1380" t="s">
        <v>31</v>
      </c>
      <c r="B1380">
        <v>1986</v>
      </c>
      <c r="C1380">
        <v>50.56628323032794</v>
      </c>
    </row>
    <row r="1381" spans="1:3" x14ac:dyDescent="0.35">
      <c r="A1381" t="s">
        <v>31</v>
      </c>
      <c r="B1381">
        <v>1987</v>
      </c>
      <c r="C1381">
        <v>36.662411208222856</v>
      </c>
    </row>
    <row r="1382" spans="1:3" x14ac:dyDescent="0.35">
      <c r="A1382" t="s">
        <v>31</v>
      </c>
      <c r="B1382">
        <v>1988</v>
      </c>
      <c r="C1382">
        <v>32.904438545808596</v>
      </c>
    </row>
    <row r="1383" spans="1:3" x14ac:dyDescent="0.35">
      <c r="A1383" t="s">
        <v>31</v>
      </c>
      <c r="B1383">
        <v>1989</v>
      </c>
      <c r="C1383">
        <v>30.247467943920572</v>
      </c>
    </row>
    <row r="1384" spans="1:3" x14ac:dyDescent="0.35">
      <c r="A1384" t="s">
        <v>31</v>
      </c>
      <c r="B1384">
        <v>1990</v>
      </c>
      <c r="C1384">
        <v>37.948124178041624</v>
      </c>
    </row>
    <row r="1385" spans="1:3" x14ac:dyDescent="0.35">
      <c r="A1385" t="s">
        <v>31</v>
      </c>
      <c r="B1385">
        <v>1991</v>
      </c>
      <c r="C1385">
        <v>34.707087437886841</v>
      </c>
    </row>
    <row r="1386" spans="1:3" x14ac:dyDescent="0.35">
      <c r="A1386" t="s">
        <v>31</v>
      </c>
      <c r="B1386">
        <v>1992</v>
      </c>
      <c r="C1386">
        <v>23.102633364896871</v>
      </c>
    </row>
    <row r="1387" spans="1:3" x14ac:dyDescent="0.35">
      <c r="A1387" t="s">
        <v>31</v>
      </c>
      <c r="B1387">
        <v>1993</v>
      </c>
      <c r="C1387">
        <v>37.830790815060205</v>
      </c>
    </row>
    <row r="1388" spans="1:3" x14ac:dyDescent="0.35">
      <c r="A1388" t="s">
        <v>31</v>
      </c>
      <c r="B1388">
        <v>1994</v>
      </c>
      <c r="C1388">
        <v>27.580945674339453</v>
      </c>
    </row>
    <row r="1389" spans="1:3" x14ac:dyDescent="0.35">
      <c r="A1389" t="s">
        <v>31</v>
      </c>
      <c r="B1389">
        <v>1995</v>
      </c>
      <c r="C1389">
        <v>27.170664122298465</v>
      </c>
    </row>
    <row r="1390" spans="1:3" x14ac:dyDescent="0.35">
      <c r="A1390" t="s">
        <v>31</v>
      </c>
      <c r="B1390">
        <v>1996</v>
      </c>
      <c r="C1390">
        <v>49.442905509387501</v>
      </c>
    </row>
    <row r="1391" spans="1:3" x14ac:dyDescent="0.35">
      <c r="A1391" t="s">
        <v>31</v>
      </c>
      <c r="B1391">
        <v>1997</v>
      </c>
      <c r="C1391">
        <v>52.544736687029804</v>
      </c>
    </row>
    <row r="1392" spans="1:3" x14ac:dyDescent="0.35">
      <c r="A1392" t="s">
        <v>31</v>
      </c>
      <c r="B1392">
        <v>1998</v>
      </c>
      <c r="C1392">
        <v>50.446576248759506</v>
      </c>
    </row>
    <row r="1393" spans="1:3" x14ac:dyDescent="0.35">
      <c r="A1393" t="s">
        <v>31</v>
      </c>
      <c r="B1393">
        <v>1999</v>
      </c>
      <c r="C1393">
        <v>45.036442916706449</v>
      </c>
    </row>
    <row r="1394" spans="1:3" x14ac:dyDescent="0.35">
      <c r="A1394" t="s">
        <v>31</v>
      </c>
      <c r="B1394">
        <v>2000</v>
      </c>
      <c r="C1394">
        <v>47.210934613963801</v>
      </c>
    </row>
    <row r="1395" spans="1:3" x14ac:dyDescent="0.35">
      <c r="A1395" t="s">
        <v>31</v>
      </c>
      <c r="B1395">
        <v>2001</v>
      </c>
      <c r="C1395">
        <v>65.037565454959406</v>
      </c>
    </row>
    <row r="1396" spans="1:3" x14ac:dyDescent="0.35">
      <c r="A1396" t="s">
        <v>31</v>
      </c>
      <c r="B1396">
        <v>2002</v>
      </c>
      <c r="C1396">
        <v>57.743396833993216</v>
      </c>
    </row>
    <row r="1397" spans="1:3" x14ac:dyDescent="0.35">
      <c r="A1397" t="s">
        <v>31</v>
      </c>
      <c r="B1397">
        <v>2003</v>
      </c>
      <c r="C1397">
        <v>72.517018888341568</v>
      </c>
    </row>
    <row r="1398" spans="1:3" x14ac:dyDescent="0.35">
      <c r="A1398" t="s">
        <v>31</v>
      </c>
      <c r="B1398">
        <v>2004</v>
      </c>
      <c r="C1398">
        <v>54.471710026433229</v>
      </c>
    </row>
    <row r="1399" spans="1:3" x14ac:dyDescent="0.35">
      <c r="A1399" t="s">
        <v>31</v>
      </c>
      <c r="B1399">
        <v>2005</v>
      </c>
      <c r="C1399">
        <v>54.018162483836988</v>
      </c>
    </row>
    <row r="1400" spans="1:3" x14ac:dyDescent="0.35">
      <c r="A1400" t="s">
        <v>31</v>
      </c>
      <c r="B1400">
        <v>2006</v>
      </c>
      <c r="C1400">
        <v>53.914017644587588</v>
      </c>
    </row>
    <row r="1401" spans="1:3" x14ac:dyDescent="0.35">
      <c r="A1401" t="s">
        <v>31</v>
      </c>
      <c r="B1401">
        <v>2007</v>
      </c>
      <c r="C1401">
        <v>81.936943667684147</v>
      </c>
    </row>
    <row r="1402" spans="1:3" x14ac:dyDescent="0.35">
      <c r="A1402" t="s">
        <v>31</v>
      </c>
      <c r="B1402">
        <v>2008</v>
      </c>
      <c r="C1402">
        <v>103.27153953768797</v>
      </c>
    </row>
    <row r="1403" spans="1:3" x14ac:dyDescent="0.35">
      <c r="A1403" t="s">
        <v>31</v>
      </c>
      <c r="B1403">
        <v>2009</v>
      </c>
      <c r="C1403">
        <v>70.985221423057851</v>
      </c>
    </row>
    <row r="1404" spans="1:3" x14ac:dyDescent="0.35">
      <c r="A1404" t="s">
        <v>31</v>
      </c>
      <c r="B1404">
        <v>2010</v>
      </c>
      <c r="C1404">
        <v>56.92289289217446</v>
      </c>
    </row>
    <row r="1405" spans="1:3" x14ac:dyDescent="0.35">
      <c r="A1405" t="s">
        <v>31</v>
      </c>
      <c r="B1405">
        <v>2011</v>
      </c>
      <c r="C1405">
        <v>71.989808011377107</v>
      </c>
    </row>
    <row r="1406" spans="1:3" x14ac:dyDescent="0.35">
      <c r="A1406" t="s">
        <v>31</v>
      </c>
      <c r="B1406">
        <v>2012</v>
      </c>
      <c r="C1406">
        <v>68.636017804343567</v>
      </c>
    </row>
    <row r="1407" spans="1:3" x14ac:dyDescent="0.35">
      <c r="A1407" t="s">
        <v>31</v>
      </c>
      <c r="B1407">
        <v>2013</v>
      </c>
      <c r="C1407">
        <v>71.877874494202302</v>
      </c>
    </row>
    <row r="1408" spans="1:3" x14ac:dyDescent="0.35">
      <c r="A1408" t="s">
        <v>31</v>
      </c>
      <c r="B1408">
        <v>2014</v>
      </c>
      <c r="C1408">
        <v>69.676655253308127</v>
      </c>
    </row>
    <row r="1409" spans="1:3" x14ac:dyDescent="0.35">
      <c r="A1409" t="s">
        <v>31</v>
      </c>
      <c r="B1409">
        <v>2015</v>
      </c>
      <c r="C1409">
        <v>58.932847756241877</v>
      </c>
    </row>
    <row r="1410" spans="1:3" x14ac:dyDescent="0.35">
      <c r="A1410" t="s">
        <v>31</v>
      </c>
      <c r="B1410">
        <v>2016</v>
      </c>
      <c r="C1410">
        <v>59.407421126818697</v>
      </c>
    </row>
    <row r="1411" spans="1:3" x14ac:dyDescent="0.35">
      <c r="A1411" t="s">
        <v>31</v>
      </c>
      <c r="B1411">
        <v>2017</v>
      </c>
      <c r="C1411">
        <v>66.70143223442048</v>
      </c>
    </row>
    <row r="1412" spans="1:3" x14ac:dyDescent="0.35">
      <c r="A1412" t="s">
        <v>31</v>
      </c>
      <c r="B1412">
        <v>2018</v>
      </c>
      <c r="C1412">
        <v>73.217433061508871</v>
      </c>
    </row>
    <row r="1413" spans="1:3" x14ac:dyDescent="0.35">
      <c r="A1413" t="s">
        <v>31</v>
      </c>
      <c r="B1413">
        <v>2019</v>
      </c>
      <c r="C1413">
        <v>76.918806814348798</v>
      </c>
    </row>
    <row r="1414" spans="1:3" x14ac:dyDescent="0.35">
      <c r="A1414" t="s">
        <v>31</v>
      </c>
      <c r="B1414">
        <v>2020</v>
      </c>
      <c r="C1414">
        <v>87.856284988121089</v>
      </c>
    </row>
    <row r="1415" spans="1:3" x14ac:dyDescent="0.35">
      <c r="A1415" t="s">
        <v>31</v>
      </c>
      <c r="B1415">
        <v>2021</v>
      </c>
      <c r="C1415">
        <v>98.807098862523318</v>
      </c>
    </row>
    <row r="1416" spans="1:3" x14ac:dyDescent="0.35">
      <c r="A1416" t="s">
        <v>31</v>
      </c>
      <c r="B1416">
        <v>2022</v>
      </c>
      <c r="C1416">
        <v>98.94738865278191</v>
      </c>
    </row>
    <row r="1417" spans="1:3" x14ac:dyDescent="0.35">
      <c r="A1417" t="s">
        <v>31</v>
      </c>
      <c r="B1417">
        <v>2023</v>
      </c>
      <c r="C1417">
        <v>102.37992776993495</v>
      </c>
    </row>
    <row r="1418" spans="1:3" x14ac:dyDescent="0.35">
      <c r="A1418" t="s">
        <v>31</v>
      </c>
      <c r="B1418">
        <v>2024</v>
      </c>
      <c r="C1418">
        <v>121.98192082157841</v>
      </c>
    </row>
    <row r="1419" spans="1:3" x14ac:dyDescent="0.35">
      <c r="A1419" t="s">
        <v>31</v>
      </c>
      <c r="B1419">
        <v>2025</v>
      </c>
      <c r="C1419">
        <v>119.67666815152624</v>
      </c>
    </row>
    <row r="1420" spans="1:3" x14ac:dyDescent="0.35">
      <c r="A1420" t="s">
        <v>32</v>
      </c>
      <c r="B1420">
        <v>1965</v>
      </c>
      <c r="C1420">
        <v>1.7710017710017711</v>
      </c>
    </row>
    <row r="1421" spans="1:3" x14ac:dyDescent="0.35">
      <c r="A1421" t="s">
        <v>32</v>
      </c>
      <c r="B1421">
        <v>1966</v>
      </c>
      <c r="C1421">
        <v>1.8480018480018483</v>
      </c>
    </row>
    <row r="1422" spans="1:3" x14ac:dyDescent="0.35">
      <c r="A1422" t="s">
        <v>32</v>
      </c>
      <c r="B1422">
        <v>1967</v>
      </c>
      <c r="C1422">
        <v>2.133370891707608</v>
      </c>
    </row>
    <row r="1423" spans="1:3" x14ac:dyDescent="0.35">
      <c r="A1423" t="s">
        <v>32</v>
      </c>
      <c r="B1423">
        <v>1968</v>
      </c>
      <c r="C1423">
        <v>1.881000752400301</v>
      </c>
    </row>
    <row r="1424" spans="1:3" x14ac:dyDescent="0.35">
      <c r="A1424" t="s">
        <v>32</v>
      </c>
      <c r="B1424">
        <v>1969</v>
      </c>
      <c r="C1424">
        <v>1.9590007836003134</v>
      </c>
    </row>
    <row r="1425" spans="1:3" x14ac:dyDescent="0.35">
      <c r="A1425" t="s">
        <v>32</v>
      </c>
      <c r="B1425">
        <v>1970</v>
      </c>
      <c r="C1425">
        <v>2.0550008220003289</v>
      </c>
    </row>
    <row r="1426" spans="1:3" x14ac:dyDescent="0.35">
      <c r="A1426" t="s">
        <v>32</v>
      </c>
      <c r="B1426">
        <v>1971</v>
      </c>
      <c r="C1426">
        <v>2.3438609497721732</v>
      </c>
    </row>
    <row r="1427" spans="1:3" x14ac:dyDescent="0.35">
      <c r="A1427" t="s">
        <v>32</v>
      </c>
      <c r="B1427">
        <v>1972</v>
      </c>
      <c r="C1427">
        <v>2.6978708964292042</v>
      </c>
    </row>
    <row r="1428" spans="1:3" x14ac:dyDescent="0.35">
      <c r="A1428" t="s">
        <v>32</v>
      </c>
      <c r="B1428">
        <v>1973</v>
      </c>
      <c r="C1428">
        <v>4.7115574748981404</v>
      </c>
    </row>
    <row r="1429" spans="1:3" x14ac:dyDescent="0.35">
      <c r="A1429" t="s">
        <v>32</v>
      </c>
      <c r="B1429">
        <v>1974</v>
      </c>
      <c r="C1429">
        <v>5.3049026216026327</v>
      </c>
    </row>
    <row r="1430" spans="1:3" x14ac:dyDescent="0.35">
      <c r="A1430" t="s">
        <v>32</v>
      </c>
      <c r="B1430">
        <v>1975</v>
      </c>
      <c r="C1430">
        <v>9.3623420267574886</v>
      </c>
    </row>
    <row r="1431" spans="1:3" x14ac:dyDescent="0.35">
      <c r="A1431" t="s">
        <v>32</v>
      </c>
      <c r="B1431">
        <v>1976</v>
      </c>
      <c r="C1431">
        <v>9.205803654063315</v>
      </c>
    </row>
    <row r="1432" spans="1:3" x14ac:dyDescent="0.35">
      <c r="A1432" t="s">
        <v>32</v>
      </c>
      <c r="B1432">
        <v>1977</v>
      </c>
      <c r="C1432">
        <v>13.625117395849946</v>
      </c>
    </row>
    <row r="1433" spans="1:3" x14ac:dyDescent="0.35">
      <c r="A1433" t="s">
        <v>32</v>
      </c>
      <c r="B1433">
        <v>1978</v>
      </c>
      <c r="C1433">
        <v>25.570521899389036</v>
      </c>
    </row>
    <row r="1434" spans="1:3" x14ac:dyDescent="0.35">
      <c r="A1434" t="s">
        <v>32</v>
      </c>
      <c r="B1434">
        <v>1979</v>
      </c>
      <c r="C1434">
        <v>43.0296812987986</v>
      </c>
    </row>
    <row r="1435" spans="1:3" x14ac:dyDescent="0.35">
      <c r="A1435" t="s">
        <v>32</v>
      </c>
      <c r="B1435">
        <v>1980</v>
      </c>
      <c r="C1435">
        <v>53.134112223185433</v>
      </c>
    </row>
    <row r="1436" spans="1:3" x14ac:dyDescent="0.35">
      <c r="A1436" t="s">
        <v>32</v>
      </c>
      <c r="B1436">
        <v>1981</v>
      </c>
      <c r="C1436">
        <v>38.506688826861193</v>
      </c>
    </row>
    <row r="1437" spans="1:3" x14ac:dyDescent="0.35">
      <c r="A1437" t="s">
        <v>32</v>
      </c>
      <c r="B1437">
        <v>1982</v>
      </c>
      <c r="C1437">
        <v>26.977480080719275</v>
      </c>
    </row>
    <row r="1438" spans="1:3" x14ac:dyDescent="0.35">
      <c r="A1438" t="s">
        <v>32</v>
      </c>
      <c r="B1438">
        <v>1983</v>
      </c>
      <c r="C1438">
        <v>22.217303959957778</v>
      </c>
    </row>
    <row r="1439" spans="1:3" x14ac:dyDescent="0.35">
      <c r="A1439" t="s">
        <v>32</v>
      </c>
      <c r="B1439">
        <v>1984</v>
      </c>
      <c r="C1439">
        <v>18.839590202210303</v>
      </c>
    </row>
    <row r="1440" spans="1:3" x14ac:dyDescent="0.35">
      <c r="A1440" t="s">
        <v>32</v>
      </c>
      <c r="B1440">
        <v>1985</v>
      </c>
      <c r="C1440">
        <v>19.811238438717933</v>
      </c>
    </row>
    <row r="1441" spans="1:3" x14ac:dyDescent="0.35">
      <c r="A1441" t="s">
        <v>32</v>
      </c>
      <c r="B1441">
        <v>1986</v>
      </c>
      <c r="C1441">
        <v>24.743830162218508</v>
      </c>
    </row>
    <row r="1442" spans="1:3" x14ac:dyDescent="0.35">
      <c r="A1442" t="s">
        <v>32</v>
      </c>
      <c r="B1442">
        <v>1987</v>
      </c>
      <c r="C1442">
        <v>21.643561487544936</v>
      </c>
    </row>
    <row r="1443" spans="1:3" x14ac:dyDescent="0.35">
      <c r="A1443" t="s">
        <v>32</v>
      </c>
      <c r="B1443">
        <v>1988</v>
      </c>
      <c r="C1443">
        <v>20.167493069925428</v>
      </c>
    </row>
    <row r="1444" spans="1:3" x14ac:dyDescent="0.35">
      <c r="A1444" t="s">
        <v>32</v>
      </c>
      <c r="B1444">
        <v>1989</v>
      </c>
      <c r="C1444">
        <v>22.781135849712992</v>
      </c>
    </row>
    <row r="1445" spans="1:3" x14ac:dyDescent="0.35">
      <c r="A1445" t="s">
        <v>32</v>
      </c>
      <c r="B1445">
        <v>1990</v>
      </c>
      <c r="C1445">
        <v>24.312172026618978</v>
      </c>
    </row>
    <row r="1446" spans="1:3" x14ac:dyDescent="0.35">
      <c r="A1446" t="s">
        <v>32</v>
      </c>
      <c r="B1446">
        <v>1991</v>
      </c>
      <c r="C1446">
        <v>23.704121199581916</v>
      </c>
    </row>
    <row r="1447" spans="1:3" x14ac:dyDescent="0.35">
      <c r="A1447" t="s">
        <v>32</v>
      </c>
      <c r="B1447">
        <v>1992</v>
      </c>
      <c r="C1447">
        <v>25.238116382851178</v>
      </c>
    </row>
    <row r="1448" spans="1:3" x14ac:dyDescent="0.35">
      <c r="A1448" t="s">
        <v>32</v>
      </c>
      <c r="B1448">
        <v>1993</v>
      </c>
      <c r="C1448">
        <v>25.728062724006197</v>
      </c>
    </row>
    <row r="1449" spans="1:3" x14ac:dyDescent="0.35">
      <c r="A1449" t="s">
        <v>32</v>
      </c>
      <c r="B1449">
        <v>1994</v>
      </c>
      <c r="C1449">
        <v>17.0608030767822</v>
      </c>
    </row>
    <row r="1450" spans="1:3" x14ac:dyDescent="0.35">
      <c r="A1450" t="s">
        <v>32</v>
      </c>
      <c r="B1450">
        <v>1995</v>
      </c>
      <c r="C1450">
        <v>11.047717502960671</v>
      </c>
    </row>
    <row r="1451" spans="1:3" x14ac:dyDescent="0.35">
      <c r="A1451" t="s">
        <v>32</v>
      </c>
      <c r="B1451">
        <v>1996</v>
      </c>
      <c r="C1451">
        <v>20.152203024463535</v>
      </c>
    </row>
    <row r="1452" spans="1:3" x14ac:dyDescent="0.35">
      <c r="A1452" t="s">
        <v>32</v>
      </c>
      <c r="B1452">
        <v>1997</v>
      </c>
      <c r="C1452">
        <v>26.407487138322328</v>
      </c>
    </row>
    <row r="1453" spans="1:3" x14ac:dyDescent="0.35">
      <c r="A1453" t="s">
        <v>32</v>
      </c>
      <c r="B1453">
        <v>1998</v>
      </c>
      <c r="C1453">
        <v>14.474120369327414</v>
      </c>
    </row>
    <row r="1454" spans="1:3" x14ac:dyDescent="0.35">
      <c r="A1454" t="s">
        <v>32</v>
      </c>
      <c r="B1454">
        <v>1999</v>
      </c>
      <c r="C1454">
        <v>14.402979488796298</v>
      </c>
    </row>
    <row r="1455" spans="1:3" x14ac:dyDescent="0.35">
      <c r="A1455" t="s">
        <v>32</v>
      </c>
      <c r="B1455">
        <v>2000</v>
      </c>
      <c r="C1455">
        <v>11.727501435917761</v>
      </c>
    </row>
    <row r="1456" spans="1:3" x14ac:dyDescent="0.35">
      <c r="A1456" t="s">
        <v>32</v>
      </c>
      <c r="B1456">
        <v>2001</v>
      </c>
      <c r="C1456">
        <v>12.681914697641048</v>
      </c>
    </row>
    <row r="1457" spans="1:3" x14ac:dyDescent="0.35">
      <c r="A1457" t="s">
        <v>32</v>
      </c>
      <c r="B1457">
        <v>2002</v>
      </c>
      <c r="C1457">
        <v>14.815169794983738</v>
      </c>
    </row>
    <row r="1458" spans="1:3" x14ac:dyDescent="0.35">
      <c r="A1458" t="s">
        <v>32</v>
      </c>
      <c r="B1458">
        <v>2003</v>
      </c>
      <c r="C1458">
        <v>13.118825853796217</v>
      </c>
    </row>
    <row r="1459" spans="1:3" x14ac:dyDescent="0.35">
      <c r="A1459" t="s">
        <v>32</v>
      </c>
      <c r="B1459">
        <v>2004</v>
      </c>
      <c r="C1459">
        <v>21.965738581057504</v>
      </c>
    </row>
    <row r="1460" spans="1:3" x14ac:dyDescent="0.35">
      <c r="A1460" t="s">
        <v>32</v>
      </c>
      <c r="B1460">
        <v>2005</v>
      </c>
      <c r="C1460">
        <v>38.213561898327981</v>
      </c>
    </row>
    <row r="1461" spans="1:3" x14ac:dyDescent="0.35">
      <c r="A1461" t="s">
        <v>32</v>
      </c>
      <c r="B1461">
        <v>2006</v>
      </c>
      <c r="C1461">
        <v>31.090549502257119</v>
      </c>
    </row>
    <row r="1462" spans="1:3" x14ac:dyDescent="0.35">
      <c r="A1462" t="s">
        <v>32</v>
      </c>
      <c r="B1462">
        <v>2007</v>
      </c>
      <c r="C1462">
        <v>33.599605593146464</v>
      </c>
    </row>
    <row r="1463" spans="1:3" x14ac:dyDescent="0.35">
      <c r="A1463" t="s">
        <v>32</v>
      </c>
      <c r="B1463">
        <v>2008</v>
      </c>
      <c r="C1463">
        <v>44.464251403684813</v>
      </c>
    </row>
    <row r="1464" spans="1:3" x14ac:dyDescent="0.35">
      <c r="A1464" t="s">
        <v>32</v>
      </c>
      <c r="B1464">
        <v>2009</v>
      </c>
      <c r="C1464">
        <v>58.797381824364052</v>
      </c>
    </row>
    <row r="1465" spans="1:3" x14ac:dyDescent="0.35">
      <c r="A1465" t="s">
        <v>32</v>
      </c>
      <c r="B1465">
        <v>2010</v>
      </c>
      <c r="C1465">
        <v>49.984217905865627</v>
      </c>
    </row>
    <row r="1466" spans="1:3" x14ac:dyDescent="0.35">
      <c r="A1466" t="s">
        <v>32</v>
      </c>
      <c r="B1466">
        <v>2011</v>
      </c>
      <c r="C1466">
        <v>52.804842986295249</v>
      </c>
    </row>
    <row r="1467" spans="1:3" x14ac:dyDescent="0.35">
      <c r="A1467" t="s">
        <v>32</v>
      </c>
      <c r="B1467">
        <v>2012</v>
      </c>
      <c r="C1467">
        <v>46.155953690396863</v>
      </c>
    </row>
    <row r="1468" spans="1:3" x14ac:dyDescent="0.35">
      <c r="A1468" t="s">
        <v>32</v>
      </c>
      <c r="B1468">
        <v>2013</v>
      </c>
      <c r="C1468">
        <v>62.925520091545991</v>
      </c>
    </row>
    <row r="1469" spans="1:3" x14ac:dyDescent="0.35">
      <c r="A1469" t="s">
        <v>32</v>
      </c>
      <c r="B1469">
        <v>2014</v>
      </c>
      <c r="C1469">
        <v>49.454535910886214</v>
      </c>
    </row>
    <row r="1470" spans="1:3" x14ac:dyDescent="0.35">
      <c r="A1470" t="s">
        <v>32</v>
      </c>
      <c r="B1470">
        <v>2015</v>
      </c>
      <c r="C1470">
        <v>40.638536713108863</v>
      </c>
    </row>
    <row r="1471" spans="1:3" x14ac:dyDescent="0.35">
      <c r="A1471" t="s">
        <v>32</v>
      </c>
      <c r="B1471">
        <v>2016</v>
      </c>
      <c r="C1471">
        <v>34.955163961253753</v>
      </c>
    </row>
    <row r="1472" spans="1:3" x14ac:dyDescent="0.35">
      <c r="A1472" t="s">
        <v>32</v>
      </c>
      <c r="B1472">
        <v>2017</v>
      </c>
      <c r="C1472">
        <v>47.409737461016263</v>
      </c>
    </row>
    <row r="1473" spans="1:3" x14ac:dyDescent="0.35">
      <c r="A1473" t="s">
        <v>32</v>
      </c>
      <c r="B1473">
        <v>2018</v>
      </c>
      <c r="C1473">
        <v>58.246665908056471</v>
      </c>
    </row>
    <row r="1474" spans="1:3" x14ac:dyDescent="0.35">
      <c r="A1474" t="s">
        <v>32</v>
      </c>
      <c r="B1474">
        <v>2019</v>
      </c>
      <c r="C1474">
        <v>83.878891782045585</v>
      </c>
    </row>
    <row r="1475" spans="1:3" x14ac:dyDescent="0.35">
      <c r="A1475" t="s">
        <v>32</v>
      </c>
      <c r="B1475">
        <v>2020</v>
      </c>
      <c r="C1475">
        <v>98.121450647624414</v>
      </c>
    </row>
    <row r="1476" spans="1:3" x14ac:dyDescent="0.35">
      <c r="A1476" t="s">
        <v>32</v>
      </c>
      <c r="B1476">
        <v>2021</v>
      </c>
      <c r="C1476">
        <v>90.399282327510164</v>
      </c>
    </row>
    <row r="1477" spans="1:3" x14ac:dyDescent="0.35">
      <c r="A1477" t="s">
        <v>32</v>
      </c>
      <c r="B1477">
        <v>2022</v>
      </c>
      <c r="C1477">
        <v>115.9923333675376</v>
      </c>
    </row>
    <row r="1478" spans="1:3" x14ac:dyDescent="0.35">
      <c r="A1478" t="s">
        <v>32</v>
      </c>
      <c r="B1478">
        <v>2023</v>
      </c>
      <c r="C1478">
        <v>146.47571281243344</v>
      </c>
    </row>
    <row r="1479" spans="1:3" x14ac:dyDescent="0.35">
      <c r="A1479" t="s">
        <v>32</v>
      </c>
      <c r="B1479">
        <v>2024</v>
      </c>
      <c r="C1479">
        <v>117.58999454490588</v>
      </c>
    </row>
    <row r="1480" spans="1:3" x14ac:dyDescent="0.35">
      <c r="A1480" t="s">
        <v>32</v>
      </c>
      <c r="B1480">
        <v>2025</v>
      </c>
      <c r="C1480">
        <v>162.81919340424921</v>
      </c>
    </row>
    <row r="1481" spans="1:3" x14ac:dyDescent="0.35">
      <c r="A1481" t="s">
        <v>33</v>
      </c>
      <c r="B1481">
        <v>1961</v>
      </c>
      <c r="C1481">
        <v>3.9223680991600753</v>
      </c>
    </row>
    <row r="1482" spans="1:3" x14ac:dyDescent="0.35">
      <c r="A1482" t="s">
        <v>33</v>
      </c>
      <c r="B1482">
        <v>1962</v>
      </c>
      <c r="C1482">
        <v>4.3426089937717842</v>
      </c>
    </row>
    <row r="1483" spans="1:3" x14ac:dyDescent="0.35">
      <c r="A1483" t="s">
        <v>33</v>
      </c>
      <c r="B1483">
        <v>1963</v>
      </c>
      <c r="C1483">
        <v>4.3752244751363181</v>
      </c>
    </row>
    <row r="1484" spans="1:3" x14ac:dyDescent="0.35">
      <c r="A1484" t="s">
        <v>33</v>
      </c>
      <c r="B1484">
        <v>1964</v>
      </c>
      <c r="C1484">
        <v>5.1749399045819446</v>
      </c>
    </row>
    <row r="1485" spans="1:3" x14ac:dyDescent="0.35">
      <c r="A1485" t="s">
        <v>33</v>
      </c>
      <c r="B1485">
        <v>1965</v>
      </c>
      <c r="C1485">
        <v>4.6478223789179021</v>
      </c>
    </row>
    <row r="1486" spans="1:3" x14ac:dyDescent="0.35">
      <c r="A1486" t="s">
        <v>33</v>
      </c>
      <c r="B1486">
        <v>1966</v>
      </c>
      <c r="C1486">
        <v>4.6361497569989991</v>
      </c>
    </row>
    <row r="1487" spans="1:3" x14ac:dyDescent="0.35">
      <c r="A1487" t="s">
        <v>33</v>
      </c>
      <c r="B1487">
        <v>1967</v>
      </c>
      <c r="C1487">
        <v>5.0812801573977344</v>
      </c>
    </row>
    <row r="1488" spans="1:3" x14ac:dyDescent="0.35">
      <c r="A1488" t="s">
        <v>33</v>
      </c>
      <c r="B1488">
        <v>1968</v>
      </c>
      <c r="C1488">
        <v>5.2511461636337939</v>
      </c>
    </row>
    <row r="1489" spans="1:3" x14ac:dyDescent="0.35">
      <c r="A1489" t="s">
        <v>33</v>
      </c>
      <c r="B1489">
        <v>1969</v>
      </c>
      <c r="C1489">
        <v>5.6739280122787648</v>
      </c>
    </row>
    <row r="1490" spans="1:3" x14ac:dyDescent="0.35">
      <c r="A1490" t="s">
        <v>33</v>
      </c>
      <c r="B1490">
        <v>1970</v>
      </c>
      <c r="C1490">
        <v>6.1504397564425854</v>
      </c>
    </row>
    <row r="1491" spans="1:3" x14ac:dyDescent="0.35">
      <c r="A1491" t="s">
        <v>33</v>
      </c>
      <c r="B1491">
        <v>1971</v>
      </c>
      <c r="C1491">
        <v>6.3234358388630465</v>
      </c>
    </row>
    <row r="1492" spans="1:3" x14ac:dyDescent="0.35">
      <c r="A1492" t="s">
        <v>33</v>
      </c>
      <c r="B1492">
        <v>1972</v>
      </c>
      <c r="C1492">
        <v>8.3324075102766368</v>
      </c>
    </row>
    <row r="1493" spans="1:3" x14ac:dyDescent="0.35">
      <c r="A1493" t="s">
        <v>33</v>
      </c>
      <c r="B1493">
        <v>1973</v>
      </c>
      <c r="C1493">
        <v>10.974072296075626</v>
      </c>
    </row>
    <row r="1494" spans="1:3" x14ac:dyDescent="0.35">
      <c r="A1494" t="s">
        <v>33</v>
      </c>
      <c r="B1494">
        <v>1974</v>
      </c>
      <c r="C1494">
        <v>11.632496209052574</v>
      </c>
    </row>
    <row r="1495" spans="1:3" x14ac:dyDescent="0.35">
      <c r="A1495" t="s">
        <v>33</v>
      </c>
      <c r="B1495">
        <v>1975</v>
      </c>
      <c r="C1495">
        <v>19.130897332406338</v>
      </c>
    </row>
    <row r="1496" spans="1:3" x14ac:dyDescent="0.35">
      <c r="A1496" t="s">
        <v>33</v>
      </c>
      <c r="B1496">
        <v>1976</v>
      </c>
      <c r="C1496">
        <v>21.761874869219504</v>
      </c>
    </row>
    <row r="1497" spans="1:3" x14ac:dyDescent="0.35">
      <c r="A1497" t="s">
        <v>33</v>
      </c>
      <c r="B1497">
        <v>1977</v>
      </c>
      <c r="C1497">
        <v>26.050146532074244</v>
      </c>
    </row>
    <row r="1498" spans="1:3" x14ac:dyDescent="0.35">
      <c r="A1498" t="s">
        <v>33</v>
      </c>
      <c r="B1498">
        <v>1978</v>
      </c>
      <c r="C1498">
        <v>31.02066862835466</v>
      </c>
    </row>
    <row r="1499" spans="1:3" x14ac:dyDescent="0.35">
      <c r="A1499" t="s">
        <v>33</v>
      </c>
      <c r="B1499">
        <v>1979</v>
      </c>
      <c r="C1499">
        <v>36.197478399037244</v>
      </c>
    </row>
    <row r="1500" spans="1:3" x14ac:dyDescent="0.35">
      <c r="A1500" t="s">
        <v>33</v>
      </c>
      <c r="B1500">
        <v>1980</v>
      </c>
      <c r="C1500">
        <v>38.33775085195002</v>
      </c>
    </row>
    <row r="1501" spans="1:3" x14ac:dyDescent="0.35">
      <c r="A1501" t="s">
        <v>33</v>
      </c>
      <c r="B1501">
        <v>1981</v>
      </c>
      <c r="C1501">
        <v>31.64894693649234</v>
      </c>
    </row>
    <row r="1502" spans="1:3" x14ac:dyDescent="0.35">
      <c r="A1502" t="s">
        <v>33</v>
      </c>
      <c r="B1502">
        <v>1982</v>
      </c>
      <c r="C1502">
        <v>29.518633256848631</v>
      </c>
    </row>
    <row r="1503" spans="1:3" x14ac:dyDescent="0.35">
      <c r="A1503" t="s">
        <v>33</v>
      </c>
      <c r="B1503">
        <v>1983</v>
      </c>
      <c r="C1503">
        <v>26.767016737258114</v>
      </c>
    </row>
    <row r="1504" spans="1:3" x14ac:dyDescent="0.35">
      <c r="A1504" t="s">
        <v>33</v>
      </c>
      <c r="B1504">
        <v>1984</v>
      </c>
      <c r="C1504">
        <v>25.402957270395028</v>
      </c>
    </row>
    <row r="1505" spans="1:3" x14ac:dyDescent="0.35">
      <c r="A1505" t="s">
        <v>33</v>
      </c>
      <c r="B1505">
        <v>1985</v>
      </c>
      <c r="C1505">
        <v>29.826627164934571</v>
      </c>
    </row>
    <row r="1506" spans="1:3" x14ac:dyDescent="0.35">
      <c r="A1506" t="s">
        <v>33</v>
      </c>
      <c r="B1506">
        <v>1986</v>
      </c>
      <c r="C1506">
        <v>37.539055055355668</v>
      </c>
    </row>
    <row r="1507" spans="1:3" x14ac:dyDescent="0.35">
      <c r="A1507" t="s">
        <v>33</v>
      </c>
      <c r="B1507">
        <v>1987</v>
      </c>
      <c r="C1507">
        <v>44.254118461287632</v>
      </c>
    </row>
    <row r="1508" spans="1:3" x14ac:dyDescent="0.35">
      <c r="A1508" t="s">
        <v>33</v>
      </c>
      <c r="B1508">
        <v>1988</v>
      </c>
      <c r="C1508">
        <v>48.011066047111271</v>
      </c>
    </row>
    <row r="1509" spans="1:3" x14ac:dyDescent="0.35">
      <c r="A1509" t="s">
        <v>33</v>
      </c>
      <c r="B1509">
        <v>1989</v>
      </c>
      <c r="C1509">
        <v>46.080349082154683</v>
      </c>
    </row>
    <row r="1510" spans="1:3" x14ac:dyDescent="0.35">
      <c r="A1510" t="s">
        <v>33</v>
      </c>
      <c r="B1510">
        <v>1990</v>
      </c>
      <c r="C1510">
        <v>52.155069509485244</v>
      </c>
    </row>
    <row r="1511" spans="1:3" x14ac:dyDescent="0.35">
      <c r="A1511" t="s">
        <v>33</v>
      </c>
      <c r="B1511">
        <v>1993</v>
      </c>
      <c r="C1511">
        <v>44.497338988497788</v>
      </c>
    </row>
    <row r="1512" spans="1:3" x14ac:dyDescent="0.35">
      <c r="A1512" t="s">
        <v>33</v>
      </c>
      <c r="B1512">
        <v>1994</v>
      </c>
      <c r="C1512">
        <v>29.898866184562461</v>
      </c>
    </row>
    <row r="1513" spans="1:3" x14ac:dyDescent="0.35">
      <c r="A1513" t="s">
        <v>33</v>
      </c>
      <c r="B1513">
        <v>1995</v>
      </c>
      <c r="C1513">
        <v>40.468959106317165</v>
      </c>
    </row>
    <row r="1514" spans="1:3" x14ac:dyDescent="0.35">
      <c r="A1514" t="s">
        <v>33</v>
      </c>
      <c r="B1514">
        <v>1996</v>
      </c>
      <c r="C1514">
        <v>39.683160265232075</v>
      </c>
    </row>
    <row r="1515" spans="1:3" x14ac:dyDescent="0.35">
      <c r="A1515" t="s">
        <v>33</v>
      </c>
      <c r="B1515">
        <v>1997</v>
      </c>
      <c r="C1515">
        <v>40.262546066349252</v>
      </c>
    </row>
    <row r="1516" spans="1:3" x14ac:dyDescent="0.35">
      <c r="A1516" t="s">
        <v>33</v>
      </c>
      <c r="B1516">
        <v>1998</v>
      </c>
      <c r="C1516">
        <v>41.020286396181383</v>
      </c>
    </row>
    <row r="1517" spans="1:3" x14ac:dyDescent="0.35">
      <c r="A1517" t="s">
        <v>33</v>
      </c>
      <c r="B1517">
        <v>1999</v>
      </c>
      <c r="C1517">
        <v>43.852596804607451</v>
      </c>
    </row>
    <row r="1518" spans="1:3" x14ac:dyDescent="0.35">
      <c r="A1518" t="s">
        <v>33</v>
      </c>
      <c r="B1518">
        <v>2000</v>
      </c>
      <c r="C1518">
        <v>43.681247682506154</v>
      </c>
    </row>
    <row r="1519" spans="1:3" x14ac:dyDescent="0.35">
      <c r="A1519" t="s">
        <v>33</v>
      </c>
      <c r="B1519">
        <v>2001</v>
      </c>
      <c r="C1519">
        <v>44.881650225977062</v>
      </c>
    </row>
    <row r="1520" spans="1:3" x14ac:dyDescent="0.35">
      <c r="A1520" t="s">
        <v>33</v>
      </c>
      <c r="B1520">
        <v>2002</v>
      </c>
      <c r="C1520">
        <v>49.355225627987856</v>
      </c>
    </row>
    <row r="1521" spans="1:3" x14ac:dyDescent="0.35">
      <c r="A1521" t="s">
        <v>33</v>
      </c>
      <c r="B1521">
        <v>2003</v>
      </c>
      <c r="C1521">
        <v>66.7584308327598</v>
      </c>
    </row>
    <row r="1522" spans="1:3" x14ac:dyDescent="0.35">
      <c r="A1522" t="s">
        <v>33</v>
      </c>
      <c r="B1522">
        <v>2004</v>
      </c>
      <c r="C1522">
        <v>77.420331828463802</v>
      </c>
    </row>
    <row r="1523" spans="1:3" x14ac:dyDescent="0.35">
      <c r="A1523" t="s">
        <v>33</v>
      </c>
      <c r="B1523">
        <v>2005</v>
      </c>
      <c r="C1523">
        <v>86.450742035535811</v>
      </c>
    </row>
    <row r="1524" spans="1:3" x14ac:dyDescent="0.35">
      <c r="A1524" t="s">
        <v>33</v>
      </c>
      <c r="B1524">
        <v>2006</v>
      </c>
      <c r="C1524">
        <v>96.004895867199593</v>
      </c>
    </row>
    <row r="1525" spans="1:3" x14ac:dyDescent="0.35">
      <c r="A1525" t="s">
        <v>33</v>
      </c>
      <c r="B1525">
        <v>2007</v>
      </c>
      <c r="C1525">
        <v>110.37688803944357</v>
      </c>
    </row>
    <row r="1526" spans="1:3" x14ac:dyDescent="0.35">
      <c r="A1526" t="s">
        <v>33</v>
      </c>
      <c r="B1526">
        <v>2008</v>
      </c>
      <c r="C1526">
        <v>142.91935105682163</v>
      </c>
    </row>
    <row r="1527" spans="1:3" x14ac:dyDescent="0.35">
      <c r="A1527" t="s">
        <v>33</v>
      </c>
      <c r="B1527">
        <v>2009</v>
      </c>
      <c r="C1527">
        <v>144.43460839584401</v>
      </c>
    </row>
    <row r="1528" spans="1:3" x14ac:dyDescent="0.35">
      <c r="A1528" t="s">
        <v>33</v>
      </c>
      <c r="B1528">
        <v>2010</v>
      </c>
      <c r="C1528">
        <v>146.78654571078408</v>
      </c>
    </row>
    <row r="1529" spans="1:3" x14ac:dyDescent="0.35">
      <c r="A1529" t="s">
        <v>33</v>
      </c>
      <c r="B1529">
        <v>2011</v>
      </c>
      <c r="C1529">
        <v>161.06267457286603</v>
      </c>
    </row>
    <row r="1530" spans="1:3" x14ac:dyDescent="0.35">
      <c r="A1530" t="s">
        <v>33</v>
      </c>
      <c r="B1530">
        <v>2012</v>
      </c>
      <c r="C1530">
        <v>148.86577987060431</v>
      </c>
    </row>
    <row r="1531" spans="1:3" x14ac:dyDescent="0.35">
      <c r="A1531" t="s">
        <v>33</v>
      </c>
      <c r="B1531">
        <v>2013</v>
      </c>
      <c r="C1531">
        <v>153.83369767630151</v>
      </c>
    </row>
    <row r="1532" spans="1:3" x14ac:dyDescent="0.35">
      <c r="A1532" t="s">
        <v>33</v>
      </c>
      <c r="B1532">
        <v>2014</v>
      </c>
      <c r="C1532">
        <v>218.11840312495508</v>
      </c>
    </row>
    <row r="1533" spans="1:3" x14ac:dyDescent="0.35">
      <c r="A1533" t="s">
        <v>33</v>
      </c>
      <c r="B1533">
        <v>2015</v>
      </c>
      <c r="C1533">
        <v>309.17068222165858</v>
      </c>
    </row>
    <row r="1534" spans="1:3" x14ac:dyDescent="0.35">
      <c r="A1534" t="s">
        <v>33</v>
      </c>
      <c r="B1534">
        <v>2016</v>
      </c>
      <c r="C1534">
        <v>362.3989021985638</v>
      </c>
    </row>
    <row r="1535" spans="1:3" x14ac:dyDescent="0.35">
      <c r="A1535" t="s">
        <v>33</v>
      </c>
      <c r="B1535">
        <v>2017</v>
      </c>
      <c r="C1535">
        <v>460.19619196839136</v>
      </c>
    </row>
    <row r="1536" spans="1:3" x14ac:dyDescent="0.35">
      <c r="A1536" t="s">
        <v>33</v>
      </c>
      <c r="B1536">
        <v>2018</v>
      </c>
      <c r="C1536">
        <v>481.72818447786335</v>
      </c>
    </row>
    <row r="1537" spans="1:3" x14ac:dyDescent="0.35">
      <c r="A1537" t="s">
        <v>33</v>
      </c>
      <c r="B1537">
        <v>2019</v>
      </c>
      <c r="C1537">
        <v>475.63818567201065</v>
      </c>
    </row>
    <row r="1538" spans="1:3" x14ac:dyDescent="0.35">
      <c r="A1538" t="s">
        <v>33</v>
      </c>
      <c r="B1538">
        <v>2020</v>
      </c>
      <c r="C1538">
        <v>593.86588353867273</v>
      </c>
    </row>
    <row r="1539" spans="1:3" x14ac:dyDescent="0.35">
      <c r="A1539" t="s">
        <v>33</v>
      </c>
      <c r="B1539">
        <v>2021</v>
      </c>
      <c r="C1539">
        <v>652.88335328650351</v>
      </c>
    </row>
    <row r="1540" spans="1:3" x14ac:dyDescent="0.35">
      <c r="A1540" t="s">
        <v>33</v>
      </c>
      <c r="B1540">
        <v>2022</v>
      </c>
      <c r="C1540">
        <v>582.01755254341242</v>
      </c>
    </row>
    <row r="1541" spans="1:3" x14ac:dyDescent="0.35">
      <c r="A1541" t="s">
        <v>33</v>
      </c>
      <c r="B1541">
        <v>2023</v>
      </c>
      <c r="C1541">
        <v>785.26500846722286</v>
      </c>
    </row>
    <row r="1542" spans="1:3" x14ac:dyDescent="0.35">
      <c r="A1542" t="s">
        <v>33</v>
      </c>
      <c r="B1542">
        <v>2024</v>
      </c>
      <c r="C1542">
        <v>932.9766425676745</v>
      </c>
    </row>
    <row r="1543" spans="1:3" x14ac:dyDescent="0.35">
      <c r="A1543" t="s">
        <v>33</v>
      </c>
      <c r="B1543">
        <v>2025</v>
      </c>
      <c r="C1543">
        <v>952.89949783311545</v>
      </c>
    </row>
    <row r="1544" spans="1:3" x14ac:dyDescent="0.35">
      <c r="A1544" t="s">
        <v>34</v>
      </c>
      <c r="B1544">
        <v>1985</v>
      </c>
      <c r="C1544">
        <v>41.0585717065577</v>
      </c>
    </row>
    <row r="1545" spans="1:3" x14ac:dyDescent="0.35">
      <c r="A1545" t="s">
        <v>34</v>
      </c>
      <c r="B1545">
        <v>1986</v>
      </c>
      <c r="C1545">
        <v>42.460504201680671</v>
      </c>
    </row>
    <row r="1546" spans="1:3" x14ac:dyDescent="0.35">
      <c r="A1546" t="s">
        <v>34</v>
      </c>
      <c r="B1546">
        <v>1987</v>
      </c>
      <c r="C1546">
        <v>43.72055123087565</v>
      </c>
    </row>
    <row r="1547" spans="1:3" x14ac:dyDescent="0.35">
      <c r="A1547" t="s">
        <v>34</v>
      </c>
      <c r="B1547">
        <v>1988</v>
      </c>
      <c r="C1547">
        <v>42.983864109868613</v>
      </c>
    </row>
    <row r="1548" spans="1:3" x14ac:dyDescent="0.35">
      <c r="A1548" t="s">
        <v>34</v>
      </c>
      <c r="B1548">
        <v>1989</v>
      </c>
      <c r="C1548">
        <v>38.879724506628463</v>
      </c>
    </row>
    <row r="1549" spans="1:3" x14ac:dyDescent="0.35">
      <c r="A1549" t="s">
        <v>34</v>
      </c>
      <c r="B1549">
        <v>1990</v>
      </c>
      <c r="C1549">
        <v>40.181617437258865</v>
      </c>
    </row>
    <row r="1550" spans="1:3" x14ac:dyDescent="0.35">
      <c r="A1550" t="s">
        <v>34</v>
      </c>
      <c r="B1550">
        <v>1991</v>
      </c>
      <c r="C1550">
        <v>39.440703489379572</v>
      </c>
    </row>
    <row r="1551" spans="1:3" x14ac:dyDescent="0.35">
      <c r="A1551" t="s">
        <v>34</v>
      </c>
      <c r="B1551">
        <v>1992</v>
      </c>
      <c r="C1551">
        <v>39.378674155547493</v>
      </c>
    </row>
    <row r="1552" spans="1:3" x14ac:dyDescent="0.35">
      <c r="A1552" t="s">
        <v>34</v>
      </c>
      <c r="B1552">
        <v>1993</v>
      </c>
      <c r="C1552">
        <v>30.155786964223626</v>
      </c>
    </row>
    <row r="1553" spans="1:3" x14ac:dyDescent="0.35">
      <c r="A1553" t="s">
        <v>34</v>
      </c>
      <c r="B1553">
        <v>1994</v>
      </c>
      <c r="C1553">
        <v>29.488165081934049</v>
      </c>
    </row>
    <row r="1554" spans="1:3" x14ac:dyDescent="0.35">
      <c r="A1554" t="s">
        <v>34</v>
      </c>
      <c r="B1554">
        <v>1995</v>
      </c>
      <c r="C1554">
        <v>31.987855249368099</v>
      </c>
    </row>
    <row r="1555" spans="1:3" x14ac:dyDescent="0.35">
      <c r="A1555" t="s">
        <v>34</v>
      </c>
      <c r="B1555">
        <v>1996</v>
      </c>
      <c r="C1555">
        <v>37.887510749005259</v>
      </c>
    </row>
    <row r="1556" spans="1:3" x14ac:dyDescent="0.35">
      <c r="A1556" t="s">
        <v>34</v>
      </c>
      <c r="B1556">
        <v>1997</v>
      </c>
      <c r="C1556">
        <v>41.599441565197914</v>
      </c>
    </row>
    <row r="1557" spans="1:3" x14ac:dyDescent="0.35">
      <c r="A1557" t="s">
        <v>34</v>
      </c>
      <c r="B1557">
        <v>1998</v>
      </c>
      <c r="C1557">
        <v>25.610687832933635</v>
      </c>
    </row>
    <row r="1558" spans="1:3" x14ac:dyDescent="0.35">
      <c r="A1558" t="s">
        <v>34</v>
      </c>
      <c r="B1558">
        <v>1999</v>
      </c>
      <c r="C1558">
        <v>31.959678112202525</v>
      </c>
    </row>
    <row r="1559" spans="1:3" x14ac:dyDescent="0.35">
      <c r="A1559" t="s">
        <v>34</v>
      </c>
      <c r="B1559">
        <v>2000</v>
      </c>
      <c r="C1559">
        <v>37.878312259598282</v>
      </c>
    </row>
    <row r="1560" spans="1:3" x14ac:dyDescent="0.35">
      <c r="A1560" t="s">
        <v>34</v>
      </c>
      <c r="B1560">
        <v>2001</v>
      </c>
      <c r="C1560">
        <v>51.852489349799917</v>
      </c>
    </row>
    <row r="1561" spans="1:3" x14ac:dyDescent="0.35">
      <c r="A1561" t="s">
        <v>34</v>
      </c>
      <c r="B1561">
        <v>2002</v>
      </c>
      <c r="C1561">
        <v>36.281137414945967</v>
      </c>
    </row>
    <row r="1562" spans="1:3" x14ac:dyDescent="0.35">
      <c r="A1562" t="s">
        <v>34</v>
      </c>
      <c r="B1562">
        <v>2003</v>
      </c>
      <c r="C1562">
        <v>62.449150287039494</v>
      </c>
    </row>
    <row r="1563" spans="1:3" x14ac:dyDescent="0.35">
      <c r="A1563" t="s">
        <v>34</v>
      </c>
      <c r="B1563">
        <v>2005</v>
      </c>
      <c r="C1563">
        <v>66.659636648489041</v>
      </c>
    </row>
    <row r="1564" spans="1:3" x14ac:dyDescent="0.35">
      <c r="A1564" t="s">
        <v>34</v>
      </c>
      <c r="B1564">
        <v>2006</v>
      </c>
      <c r="C1564">
        <v>81.906180193596427</v>
      </c>
    </row>
    <row r="1565" spans="1:3" x14ac:dyDescent="0.35">
      <c r="A1565" t="s">
        <v>34</v>
      </c>
      <c r="B1565">
        <v>2008</v>
      </c>
      <c r="C1565">
        <v>123.32338383647561</v>
      </c>
    </row>
    <row r="1566" spans="1:3" x14ac:dyDescent="0.35">
      <c r="A1566" t="s">
        <v>34</v>
      </c>
      <c r="B1566">
        <v>2009</v>
      </c>
      <c r="C1566">
        <v>114.82432937194606</v>
      </c>
    </row>
    <row r="1567" spans="1:3" x14ac:dyDescent="0.35">
      <c r="A1567" t="s">
        <v>34</v>
      </c>
      <c r="B1567">
        <v>2012</v>
      </c>
      <c r="C1567">
        <v>142.29991234576229</v>
      </c>
    </row>
    <row r="1568" spans="1:3" x14ac:dyDescent="0.35">
      <c r="A1568" t="s">
        <v>34</v>
      </c>
      <c r="B1568">
        <v>2013</v>
      </c>
      <c r="C1568">
        <v>144.21548346758368</v>
      </c>
    </row>
    <row r="1569" spans="1:3" x14ac:dyDescent="0.35">
      <c r="A1569" t="s">
        <v>34</v>
      </c>
      <c r="B1569">
        <v>2014</v>
      </c>
      <c r="C1569">
        <v>144.8443306631431</v>
      </c>
    </row>
    <row r="1570" spans="1:3" x14ac:dyDescent="0.35">
      <c r="A1570" t="s">
        <v>34</v>
      </c>
      <c r="B1570">
        <v>2015</v>
      </c>
      <c r="C1570">
        <v>132.93121769171918</v>
      </c>
    </row>
    <row r="1571" spans="1:3" x14ac:dyDescent="0.35">
      <c r="A1571" t="s">
        <v>34</v>
      </c>
      <c r="B1571">
        <v>2016</v>
      </c>
      <c r="C1571">
        <v>137.28434769241696</v>
      </c>
    </row>
    <row r="1572" spans="1:3" x14ac:dyDescent="0.35">
      <c r="A1572" t="s">
        <v>34</v>
      </c>
      <c r="B1572">
        <v>2017</v>
      </c>
      <c r="C1572">
        <v>144.2375789520249</v>
      </c>
    </row>
    <row r="1573" spans="1:3" x14ac:dyDescent="0.35">
      <c r="A1573" t="s">
        <v>34</v>
      </c>
      <c r="B1573">
        <v>2018</v>
      </c>
      <c r="C1573">
        <v>159.28246093476281</v>
      </c>
    </row>
    <row r="1574" spans="1:3" x14ac:dyDescent="0.35">
      <c r="A1574" t="s">
        <v>34</v>
      </c>
      <c r="B1574">
        <v>2019</v>
      </c>
      <c r="C1574">
        <v>161.02659610711137</v>
      </c>
    </row>
    <row r="1575" spans="1:3" x14ac:dyDescent="0.35">
      <c r="A1575" t="s">
        <v>34</v>
      </c>
      <c r="B1575">
        <v>2020</v>
      </c>
      <c r="C1575">
        <v>200.82999081273704</v>
      </c>
    </row>
    <row r="1576" spans="1:3" x14ac:dyDescent="0.35">
      <c r="A1576" t="s">
        <v>34</v>
      </c>
      <c r="B1576">
        <v>2021</v>
      </c>
      <c r="C1576">
        <v>229.31324521674853</v>
      </c>
    </row>
    <row r="1577" spans="1:3" x14ac:dyDescent="0.35">
      <c r="A1577" t="s">
        <v>34</v>
      </c>
      <c r="B1577">
        <v>2022</v>
      </c>
      <c r="C1577">
        <v>225.54487613374849</v>
      </c>
    </row>
    <row r="1578" spans="1:3" x14ac:dyDescent="0.35">
      <c r="A1578" t="s">
        <v>34</v>
      </c>
      <c r="B1578">
        <v>2023</v>
      </c>
      <c r="C1578">
        <v>275.95608200607541</v>
      </c>
    </row>
    <row r="1579" spans="1:3" x14ac:dyDescent="0.35">
      <c r="A1579" t="s">
        <v>34</v>
      </c>
      <c r="B1579">
        <v>2024</v>
      </c>
      <c r="C1579">
        <v>275.39866954109158</v>
      </c>
    </row>
    <row r="1580" spans="1:3" x14ac:dyDescent="0.35">
      <c r="A1580" t="s">
        <v>34</v>
      </c>
      <c r="B1580">
        <v>2025</v>
      </c>
      <c r="C1580">
        <v>321.75902499327867</v>
      </c>
    </row>
    <row r="1581" spans="1:3" x14ac:dyDescent="0.35">
      <c r="A1581" t="s">
        <v>35</v>
      </c>
      <c r="B1581">
        <v>1968</v>
      </c>
      <c r="C1581">
        <v>0.27090027090027091</v>
      </c>
    </row>
    <row r="1582" spans="1:3" x14ac:dyDescent="0.35">
      <c r="A1582" t="s">
        <v>35</v>
      </c>
      <c r="B1582">
        <v>1969</v>
      </c>
      <c r="C1582">
        <v>0.33660033660033661</v>
      </c>
    </row>
    <row r="1583" spans="1:3" x14ac:dyDescent="0.35">
      <c r="A1583" t="s">
        <v>35</v>
      </c>
      <c r="B1583">
        <v>1970</v>
      </c>
      <c r="C1583">
        <v>0.41400041400041399</v>
      </c>
    </row>
    <row r="1584" spans="1:3" x14ac:dyDescent="0.35">
      <c r="A1584" t="s">
        <v>35</v>
      </c>
      <c r="B1584">
        <v>1971</v>
      </c>
      <c r="C1584">
        <v>0.4739543837134691</v>
      </c>
    </row>
    <row r="1585" spans="1:3" x14ac:dyDescent="0.35">
      <c r="A1585" t="s">
        <v>35</v>
      </c>
      <c r="B1585">
        <v>1972</v>
      </c>
      <c r="C1585">
        <v>0.5432206993310893</v>
      </c>
    </row>
    <row r="1586" spans="1:3" x14ac:dyDescent="0.35">
      <c r="A1586" t="s">
        <v>35</v>
      </c>
      <c r="B1586">
        <v>1973</v>
      </c>
      <c r="C1586">
        <v>0.64311399471176556</v>
      </c>
    </row>
    <row r="1587" spans="1:3" x14ac:dyDescent="0.35">
      <c r="A1587" t="s">
        <v>35</v>
      </c>
      <c r="B1587">
        <v>1974</v>
      </c>
      <c r="C1587">
        <v>0.78904732179804604</v>
      </c>
    </row>
    <row r="1588" spans="1:3" x14ac:dyDescent="0.35">
      <c r="A1588" t="s">
        <v>35</v>
      </c>
      <c r="B1588">
        <v>1975</v>
      </c>
      <c r="C1588">
        <v>1.0868122386672863</v>
      </c>
    </row>
    <row r="1589" spans="1:3" x14ac:dyDescent="0.35">
      <c r="A1589" t="s">
        <v>35</v>
      </c>
      <c r="B1589">
        <v>1976</v>
      </c>
      <c r="C1589">
        <v>1.3170655778924558</v>
      </c>
    </row>
    <row r="1590" spans="1:3" x14ac:dyDescent="0.35">
      <c r="A1590" t="s">
        <v>35</v>
      </c>
      <c r="B1590">
        <v>1977</v>
      </c>
      <c r="C1590">
        <v>1.4226667130799071</v>
      </c>
    </row>
    <row r="1591" spans="1:3" x14ac:dyDescent="0.35">
      <c r="A1591" t="s">
        <v>35</v>
      </c>
      <c r="B1591">
        <v>1978</v>
      </c>
      <c r="C1591">
        <v>1.752316546248988</v>
      </c>
    </row>
    <row r="1592" spans="1:3" x14ac:dyDescent="0.35">
      <c r="A1592" t="s">
        <v>35</v>
      </c>
      <c r="B1592">
        <v>1979</v>
      </c>
      <c r="C1592">
        <v>2.4809332747843649</v>
      </c>
    </row>
    <row r="1593" spans="1:3" x14ac:dyDescent="0.35">
      <c r="A1593" t="s">
        <v>35</v>
      </c>
      <c r="B1593">
        <v>1980</v>
      </c>
      <c r="C1593">
        <v>5.5372714980824513</v>
      </c>
    </row>
    <row r="1594" spans="1:3" x14ac:dyDescent="0.35">
      <c r="A1594" t="s">
        <v>35</v>
      </c>
      <c r="B1594">
        <v>1981</v>
      </c>
      <c r="C1594">
        <v>5.3320412598164388</v>
      </c>
    </row>
    <row r="1595" spans="1:3" x14ac:dyDescent="0.35">
      <c r="A1595" t="s">
        <v>35</v>
      </c>
      <c r="B1595">
        <v>1982</v>
      </c>
      <c r="C1595">
        <v>2.8282363761784319</v>
      </c>
    </row>
    <row r="1596" spans="1:3" x14ac:dyDescent="0.35">
      <c r="A1596" t="s">
        <v>35</v>
      </c>
      <c r="B1596">
        <v>1983</v>
      </c>
      <c r="C1596">
        <v>2.9343424851787936</v>
      </c>
    </row>
    <row r="1597" spans="1:3" x14ac:dyDescent="0.35">
      <c r="A1597" t="s">
        <v>35</v>
      </c>
      <c r="B1597">
        <v>1984</v>
      </c>
      <c r="C1597">
        <v>2.6231313812018575</v>
      </c>
    </row>
    <row r="1598" spans="1:3" x14ac:dyDescent="0.35">
      <c r="A1598" t="s">
        <v>35</v>
      </c>
      <c r="B1598">
        <v>1985</v>
      </c>
      <c r="C1598">
        <v>2.3636069289299013</v>
      </c>
    </row>
    <row r="1599" spans="1:3" x14ac:dyDescent="0.35">
      <c r="A1599" t="s">
        <v>35</v>
      </c>
      <c r="B1599">
        <v>1986</v>
      </c>
      <c r="C1599">
        <v>2.896096952414899</v>
      </c>
    </row>
    <row r="1600" spans="1:3" x14ac:dyDescent="0.35">
      <c r="A1600" t="s">
        <v>35</v>
      </c>
      <c r="B1600">
        <v>1987</v>
      </c>
      <c r="C1600">
        <v>3.6495783572238358</v>
      </c>
    </row>
    <row r="1601" spans="1:3" x14ac:dyDescent="0.35">
      <c r="A1601" t="s">
        <v>35</v>
      </c>
      <c r="B1601">
        <v>1988</v>
      </c>
      <c r="C1601">
        <v>4.6883023136399835</v>
      </c>
    </row>
    <row r="1602" spans="1:3" x14ac:dyDescent="0.35">
      <c r="A1602" t="s">
        <v>35</v>
      </c>
      <c r="B1602">
        <v>1989</v>
      </c>
      <c r="C1602">
        <v>6.3279518419913705</v>
      </c>
    </row>
    <row r="1603" spans="1:3" x14ac:dyDescent="0.35">
      <c r="A1603" t="s">
        <v>35</v>
      </c>
      <c r="B1603">
        <v>1990</v>
      </c>
      <c r="C1603">
        <v>9.1835704914723983</v>
      </c>
    </row>
    <row r="1604" spans="1:3" x14ac:dyDescent="0.35">
      <c r="A1604" t="s">
        <v>35</v>
      </c>
      <c r="B1604">
        <v>1991</v>
      </c>
      <c r="C1604">
        <v>10.496859886406471</v>
      </c>
    </row>
    <row r="1605" spans="1:3" x14ac:dyDescent="0.35">
      <c r="A1605" t="s">
        <v>35</v>
      </c>
      <c r="B1605">
        <v>1992</v>
      </c>
      <c r="C1605">
        <v>11.427598437339364</v>
      </c>
    </row>
    <row r="1606" spans="1:3" x14ac:dyDescent="0.35">
      <c r="A1606" t="s">
        <v>35</v>
      </c>
      <c r="B1606">
        <v>1993</v>
      </c>
      <c r="C1606">
        <v>10.77742520398912</v>
      </c>
    </row>
    <row r="1607" spans="1:3" x14ac:dyDescent="0.35">
      <c r="A1607" t="s">
        <v>35</v>
      </c>
      <c r="B1607">
        <v>1994</v>
      </c>
      <c r="C1607">
        <v>11.853856261553194</v>
      </c>
    </row>
    <row r="1608" spans="1:3" x14ac:dyDescent="0.35">
      <c r="A1608" t="s">
        <v>35</v>
      </c>
      <c r="B1608">
        <v>1995</v>
      </c>
      <c r="C1608">
        <v>13.447369480568035</v>
      </c>
    </row>
    <row r="1609" spans="1:3" x14ac:dyDescent="0.35">
      <c r="A1609" t="s">
        <v>35</v>
      </c>
      <c r="B1609">
        <v>1996</v>
      </c>
      <c r="C1609">
        <v>12.97351808826561</v>
      </c>
    </row>
    <row r="1610" spans="1:3" x14ac:dyDescent="0.35">
      <c r="A1610" t="s">
        <v>35</v>
      </c>
      <c r="B1610">
        <v>1997</v>
      </c>
      <c r="C1610">
        <v>9.8018264449858243</v>
      </c>
    </row>
    <row r="1611" spans="1:3" x14ac:dyDescent="0.35">
      <c r="A1611" t="s">
        <v>35</v>
      </c>
      <c r="B1611">
        <v>1998</v>
      </c>
      <c r="C1611">
        <v>8.4567389247562819</v>
      </c>
    </row>
    <row r="1612" spans="1:3" x14ac:dyDescent="0.35">
      <c r="A1612" t="s">
        <v>35</v>
      </c>
      <c r="B1612">
        <v>1999</v>
      </c>
      <c r="C1612">
        <v>9.0408087096697347</v>
      </c>
    </row>
    <row r="1613" spans="1:3" x14ac:dyDescent="0.35">
      <c r="A1613" t="s">
        <v>35</v>
      </c>
      <c r="B1613">
        <v>2000</v>
      </c>
      <c r="C1613">
        <v>9.3601426307448481</v>
      </c>
    </row>
    <row r="1614" spans="1:3" x14ac:dyDescent="0.35">
      <c r="A1614" t="s">
        <v>35</v>
      </c>
      <c r="B1614">
        <v>2001</v>
      </c>
      <c r="C1614">
        <v>8.9772153810767854</v>
      </c>
    </row>
    <row r="1615" spans="1:3" x14ac:dyDescent="0.35">
      <c r="A1615" t="s">
        <v>35</v>
      </c>
      <c r="B1615">
        <v>2002</v>
      </c>
      <c r="C1615">
        <v>9.5020359121553977</v>
      </c>
    </row>
    <row r="1616" spans="1:3" x14ac:dyDescent="0.35">
      <c r="A1616" t="s">
        <v>35</v>
      </c>
      <c r="B1616">
        <v>2003</v>
      </c>
      <c r="C1616">
        <v>10.882927441176998</v>
      </c>
    </row>
    <row r="1617" spans="1:3" x14ac:dyDescent="0.35">
      <c r="A1617" t="s">
        <v>35</v>
      </c>
      <c r="B1617">
        <v>2004</v>
      </c>
      <c r="C1617">
        <v>10.935141916831826</v>
      </c>
    </row>
    <row r="1618" spans="1:3" x14ac:dyDescent="0.35">
      <c r="A1618" t="s">
        <v>35</v>
      </c>
      <c r="B1618">
        <v>2005</v>
      </c>
      <c r="C1618">
        <v>10.886148046189001</v>
      </c>
    </row>
    <row r="1619" spans="1:3" x14ac:dyDescent="0.35">
      <c r="A1619" t="s">
        <v>35</v>
      </c>
      <c r="B1619">
        <v>2006</v>
      </c>
      <c r="C1619">
        <v>10.814271432220789</v>
      </c>
    </row>
    <row r="1620" spans="1:3" x14ac:dyDescent="0.35">
      <c r="A1620" t="s">
        <v>35</v>
      </c>
      <c r="B1620">
        <v>2007</v>
      </c>
      <c r="C1620">
        <v>11.632288742627029</v>
      </c>
    </row>
    <row r="1621" spans="1:3" x14ac:dyDescent="0.35">
      <c r="A1621" t="s">
        <v>35</v>
      </c>
      <c r="B1621">
        <v>2008</v>
      </c>
      <c r="C1621">
        <v>15.580188944497554</v>
      </c>
    </row>
    <row r="1622" spans="1:3" x14ac:dyDescent="0.35">
      <c r="A1622" t="s">
        <v>35</v>
      </c>
      <c r="B1622">
        <v>2009</v>
      </c>
      <c r="C1622">
        <v>15.316115870562394</v>
      </c>
    </row>
    <row r="1623" spans="1:3" x14ac:dyDescent="0.35">
      <c r="A1623" t="s">
        <v>35</v>
      </c>
      <c r="B1623">
        <v>2010</v>
      </c>
      <c r="C1623">
        <v>14.874416912462156</v>
      </c>
    </row>
    <row r="1624" spans="1:3" x14ac:dyDescent="0.35">
      <c r="A1624" t="s">
        <v>35</v>
      </c>
      <c r="B1624">
        <v>2011</v>
      </c>
      <c r="C1624">
        <v>17.512018393367242</v>
      </c>
    </row>
    <row r="1625" spans="1:3" x14ac:dyDescent="0.35">
      <c r="A1625" t="s">
        <v>35</v>
      </c>
      <c r="B1625">
        <v>2012</v>
      </c>
      <c r="C1625">
        <v>16.662229617304494</v>
      </c>
    </row>
    <row r="1626" spans="1:3" x14ac:dyDescent="0.35">
      <c r="A1626" t="s">
        <v>35</v>
      </c>
      <c r="B1626">
        <v>2013</v>
      </c>
      <c r="C1626">
        <v>23.200896376061024</v>
      </c>
    </row>
    <row r="1627" spans="1:3" x14ac:dyDescent="0.35">
      <c r="A1627" t="s">
        <v>35</v>
      </c>
      <c r="B1627">
        <v>2014</v>
      </c>
      <c r="C1627">
        <v>19.744222082766132</v>
      </c>
    </row>
    <row r="1628" spans="1:3" x14ac:dyDescent="0.35">
      <c r="A1628" t="s">
        <v>35</v>
      </c>
      <c r="B1628">
        <v>2015</v>
      </c>
      <c r="C1628">
        <v>17.086605413515816</v>
      </c>
    </row>
    <row r="1629" spans="1:3" x14ac:dyDescent="0.35">
      <c r="A1629" t="s">
        <v>35</v>
      </c>
      <c r="B1629">
        <v>2016</v>
      </c>
      <c r="C1629">
        <v>22.002210537520774</v>
      </c>
    </row>
    <row r="1630" spans="1:3" x14ac:dyDescent="0.35">
      <c r="A1630" t="s">
        <v>35</v>
      </c>
      <c r="B1630">
        <v>2017</v>
      </c>
      <c r="C1630">
        <v>22.678888067458598</v>
      </c>
    </row>
    <row r="1631" spans="1:3" x14ac:dyDescent="0.35">
      <c r="A1631" t="s">
        <v>35</v>
      </c>
      <c r="B1631">
        <v>2018</v>
      </c>
      <c r="C1631">
        <v>23.044428302212058</v>
      </c>
    </row>
    <row r="1632" spans="1:3" x14ac:dyDescent="0.35">
      <c r="A1632" t="s">
        <v>35</v>
      </c>
      <c r="B1632">
        <v>2019</v>
      </c>
      <c r="C1632">
        <v>21.480813621053496</v>
      </c>
    </row>
    <row r="1633" spans="1:3" x14ac:dyDescent="0.35">
      <c r="A1633" t="s">
        <v>35</v>
      </c>
      <c r="B1633">
        <v>2020</v>
      </c>
      <c r="C1633">
        <v>18.425832424043232</v>
      </c>
    </row>
    <row r="1634" spans="1:3" x14ac:dyDescent="0.35">
      <c r="A1634" t="s">
        <v>35</v>
      </c>
      <c r="B1634">
        <v>2021</v>
      </c>
      <c r="C1634">
        <v>19.667978931277219</v>
      </c>
    </row>
    <row r="1635" spans="1:3" x14ac:dyDescent="0.35">
      <c r="A1635" t="s">
        <v>35</v>
      </c>
      <c r="B1635">
        <v>2022</v>
      </c>
      <c r="C1635">
        <v>17.902904468992723</v>
      </c>
    </row>
    <row r="1636" spans="1:3" x14ac:dyDescent="0.35">
      <c r="A1636" t="s">
        <v>35</v>
      </c>
      <c r="B1636">
        <v>2023</v>
      </c>
      <c r="C1636">
        <v>23.681593028951962</v>
      </c>
    </row>
    <row r="1637" spans="1:3" x14ac:dyDescent="0.35">
      <c r="A1637" t="s">
        <v>35</v>
      </c>
      <c r="B1637">
        <v>2024</v>
      </c>
      <c r="C1637">
        <v>19.011371872777385</v>
      </c>
    </row>
    <row r="1638" spans="1:3" x14ac:dyDescent="0.35">
      <c r="A1638" t="s">
        <v>35</v>
      </c>
      <c r="B1638">
        <v>2025</v>
      </c>
      <c r="C1638">
        <v>23.839838912924311</v>
      </c>
    </row>
    <row r="1639" spans="1:3" x14ac:dyDescent="0.35">
      <c r="A1639" t="s">
        <v>36</v>
      </c>
      <c r="B1639">
        <v>1977</v>
      </c>
      <c r="C1639">
        <v>39.135467915493699</v>
      </c>
    </row>
    <row r="1640" spans="1:3" x14ac:dyDescent="0.35">
      <c r="A1640" t="s">
        <v>36</v>
      </c>
      <c r="B1640">
        <v>1978</v>
      </c>
      <c r="C1640">
        <v>76.333333333333343</v>
      </c>
    </row>
    <row r="1641" spans="1:3" x14ac:dyDescent="0.35">
      <c r="A1641" t="s">
        <v>36</v>
      </c>
      <c r="B1641">
        <v>1979</v>
      </c>
      <c r="C1641">
        <v>78</v>
      </c>
    </row>
    <row r="1642" spans="1:3" x14ac:dyDescent="0.35">
      <c r="A1642" t="s">
        <v>36</v>
      </c>
      <c r="B1642">
        <v>1980</v>
      </c>
      <c r="C1642">
        <v>92.283380966784165</v>
      </c>
    </row>
    <row r="1643" spans="1:3" x14ac:dyDescent="0.35">
      <c r="A1643" t="s">
        <v>36</v>
      </c>
      <c r="B1643">
        <v>1981</v>
      </c>
      <c r="C1643">
        <v>99.294190865500227</v>
      </c>
    </row>
    <row r="1644" spans="1:3" x14ac:dyDescent="0.35">
      <c r="A1644" t="s">
        <v>36</v>
      </c>
      <c r="B1644">
        <v>1982</v>
      </c>
      <c r="C1644">
        <v>102.99261047877002</v>
      </c>
    </row>
    <row r="1645" spans="1:3" x14ac:dyDescent="0.35">
      <c r="A1645" t="s">
        <v>36</v>
      </c>
      <c r="B1645">
        <v>1983</v>
      </c>
      <c r="C1645">
        <v>116.31697745083156</v>
      </c>
    </row>
    <row r="1646" spans="1:3" x14ac:dyDescent="0.35">
      <c r="A1646" t="s">
        <v>36</v>
      </c>
      <c r="B1646">
        <v>1984</v>
      </c>
      <c r="C1646">
        <v>136.65450912757876</v>
      </c>
    </row>
    <row r="1647" spans="1:3" x14ac:dyDescent="0.35">
      <c r="A1647" t="s">
        <v>36</v>
      </c>
      <c r="B1647">
        <v>1985</v>
      </c>
      <c r="C1647">
        <v>148.21436428774891</v>
      </c>
    </row>
    <row r="1648" spans="1:3" x14ac:dyDescent="0.35">
      <c r="A1648" t="s">
        <v>36</v>
      </c>
      <c r="B1648">
        <v>1986</v>
      </c>
      <c r="C1648">
        <v>170.6699910212744</v>
      </c>
    </row>
    <row r="1649" spans="1:3" x14ac:dyDescent="0.35">
      <c r="A1649" t="s">
        <v>36</v>
      </c>
      <c r="B1649">
        <v>1987</v>
      </c>
      <c r="C1649">
        <v>83.582418111587685</v>
      </c>
    </row>
    <row r="1650" spans="1:3" x14ac:dyDescent="0.35">
      <c r="A1650" t="s">
        <v>36</v>
      </c>
      <c r="B1650">
        <v>1988</v>
      </c>
      <c r="C1650">
        <v>63.852700397411574</v>
      </c>
    </row>
    <row r="1651" spans="1:3" x14ac:dyDescent="0.35">
      <c r="A1651" t="s">
        <v>36</v>
      </c>
      <c r="B1651">
        <v>1989</v>
      </c>
      <c r="C1651">
        <v>79.069105592830354</v>
      </c>
    </row>
    <row r="1652" spans="1:3" x14ac:dyDescent="0.35">
      <c r="A1652" t="s">
        <v>36</v>
      </c>
      <c r="B1652">
        <v>1990</v>
      </c>
      <c r="C1652">
        <v>84.598999665263491</v>
      </c>
    </row>
    <row r="1653" spans="1:3" x14ac:dyDescent="0.35">
      <c r="A1653" t="s">
        <v>36</v>
      </c>
      <c r="B1653">
        <v>1991</v>
      </c>
      <c r="C1653">
        <v>71.803523252490479</v>
      </c>
    </row>
    <row r="1654" spans="1:3" x14ac:dyDescent="0.35">
      <c r="A1654" t="s">
        <v>36</v>
      </c>
      <c r="B1654">
        <v>1992</v>
      </c>
      <c r="C1654">
        <v>59.605412171425165</v>
      </c>
    </row>
    <row r="1655" spans="1:3" x14ac:dyDescent="0.35">
      <c r="A1655" t="s">
        <v>36</v>
      </c>
      <c r="B1655">
        <v>1993</v>
      </c>
      <c r="C1655">
        <v>59.366482200379949</v>
      </c>
    </row>
    <row r="1656" spans="1:3" x14ac:dyDescent="0.35">
      <c r="A1656" t="s">
        <v>36</v>
      </c>
      <c r="B1656">
        <v>1994</v>
      </c>
      <c r="C1656">
        <v>72.864691923114492</v>
      </c>
    </row>
    <row r="1657" spans="1:3" x14ac:dyDescent="0.35">
      <c r="A1657" t="s">
        <v>36</v>
      </c>
      <c r="B1657">
        <v>1995</v>
      </c>
      <c r="C1657">
        <v>33.46508826694059</v>
      </c>
    </row>
    <row r="1658" spans="1:3" x14ac:dyDescent="0.35">
      <c r="A1658" t="s">
        <v>36</v>
      </c>
      <c r="B1658">
        <v>1996</v>
      </c>
      <c r="C1658">
        <v>36.037790980812311</v>
      </c>
    </row>
    <row r="1659" spans="1:3" x14ac:dyDescent="0.35">
      <c r="A1659" t="s">
        <v>36</v>
      </c>
      <c r="B1659">
        <v>1997</v>
      </c>
      <c r="C1659">
        <v>42.014622821303583</v>
      </c>
    </row>
    <row r="1660" spans="1:3" x14ac:dyDescent="0.35">
      <c r="A1660" t="s">
        <v>36</v>
      </c>
      <c r="B1660">
        <v>1998</v>
      </c>
      <c r="C1660">
        <v>49.264817341215711</v>
      </c>
    </row>
    <row r="1661" spans="1:3" x14ac:dyDescent="0.35">
      <c r="A1661" t="s">
        <v>36</v>
      </c>
      <c r="B1661">
        <v>1999</v>
      </c>
      <c r="C1661">
        <v>56.516191654077069</v>
      </c>
    </row>
    <row r="1662" spans="1:3" x14ac:dyDescent="0.35">
      <c r="A1662" t="s">
        <v>36</v>
      </c>
      <c r="B1662">
        <v>2000</v>
      </c>
      <c r="C1662">
        <v>55.361458442786592</v>
      </c>
    </row>
    <row r="1663" spans="1:3" x14ac:dyDescent="0.35">
      <c r="A1663" t="s">
        <v>36</v>
      </c>
      <c r="B1663">
        <v>2001</v>
      </c>
      <c r="C1663">
        <v>50.61921598176162</v>
      </c>
    </row>
    <row r="1664" spans="1:3" x14ac:dyDescent="0.35">
      <c r="A1664" t="s">
        <v>36</v>
      </c>
      <c r="B1664">
        <v>2002</v>
      </c>
      <c r="C1664">
        <v>53.509586958357964</v>
      </c>
    </row>
    <row r="1665" spans="1:3" x14ac:dyDescent="0.35">
      <c r="A1665" t="s">
        <v>36</v>
      </c>
      <c r="B1665">
        <v>2003</v>
      </c>
      <c r="C1665">
        <v>59.771342553075186</v>
      </c>
    </row>
    <row r="1666" spans="1:3" x14ac:dyDescent="0.35">
      <c r="A1666" t="s">
        <v>36</v>
      </c>
      <c r="B1666">
        <v>2004</v>
      </c>
      <c r="C1666">
        <v>77.630605855287342</v>
      </c>
    </row>
    <row r="1667" spans="1:3" x14ac:dyDescent="0.35">
      <c r="A1667" t="s">
        <v>36</v>
      </c>
      <c r="B1667">
        <v>2005</v>
      </c>
      <c r="C1667">
        <v>62.247951086249515</v>
      </c>
    </row>
    <row r="1668" spans="1:3" x14ac:dyDescent="0.35">
      <c r="A1668" t="s">
        <v>36</v>
      </c>
      <c r="B1668">
        <v>2006</v>
      </c>
      <c r="C1668">
        <v>57.439135775251174</v>
      </c>
    </row>
    <row r="1669" spans="1:3" x14ac:dyDescent="0.35">
      <c r="A1669" t="s">
        <v>36</v>
      </c>
      <c r="B1669">
        <v>2007</v>
      </c>
      <c r="C1669">
        <v>68.625364256606943</v>
      </c>
    </row>
    <row r="1670" spans="1:3" x14ac:dyDescent="0.35">
      <c r="A1670" t="s">
        <v>36</v>
      </c>
      <c r="B1670">
        <v>2008</v>
      </c>
      <c r="C1670">
        <v>83.709455733603278</v>
      </c>
    </row>
    <row r="1671" spans="1:3" x14ac:dyDescent="0.35">
      <c r="A1671" t="s">
        <v>36</v>
      </c>
      <c r="B1671">
        <v>2009</v>
      </c>
      <c r="C1671">
        <v>84.302809403197145</v>
      </c>
    </row>
    <row r="1672" spans="1:3" x14ac:dyDescent="0.35">
      <c r="A1672" t="s">
        <v>36</v>
      </c>
      <c r="B1672">
        <v>2010</v>
      </c>
      <c r="C1672">
        <v>99.189931713982006</v>
      </c>
    </row>
    <row r="1673" spans="1:3" x14ac:dyDescent="0.35">
      <c r="A1673" t="s">
        <v>36</v>
      </c>
      <c r="B1673">
        <v>2011</v>
      </c>
      <c r="C1673">
        <v>118.87118303540713</v>
      </c>
    </row>
    <row r="1674" spans="1:3" x14ac:dyDescent="0.35">
      <c r="A1674" t="s">
        <v>36</v>
      </c>
      <c r="B1674">
        <v>2012</v>
      </c>
      <c r="C1674">
        <v>139.10055334296692</v>
      </c>
    </row>
    <row r="1675" spans="1:3" x14ac:dyDescent="0.35">
      <c r="A1675" t="s">
        <v>36</v>
      </c>
      <c r="B1675">
        <v>2013</v>
      </c>
      <c r="C1675">
        <v>157.89211436315983</v>
      </c>
    </row>
    <row r="1676" spans="1:3" x14ac:dyDescent="0.35">
      <c r="A1676" t="s">
        <v>36</v>
      </c>
      <c r="B1676">
        <v>2014</v>
      </c>
      <c r="C1676">
        <v>173.75224899254573</v>
      </c>
    </row>
    <row r="1677" spans="1:3" x14ac:dyDescent="0.35">
      <c r="A1677" t="s">
        <v>36</v>
      </c>
      <c r="B1677">
        <v>2015</v>
      </c>
      <c r="C1677">
        <v>134.03372638618154</v>
      </c>
    </row>
    <row r="1678" spans="1:3" x14ac:dyDescent="0.35">
      <c r="A1678" t="s">
        <v>36</v>
      </c>
      <c r="B1678">
        <v>2016</v>
      </c>
      <c r="C1678">
        <v>110.96444708083546</v>
      </c>
    </row>
    <row r="1679" spans="1:3" x14ac:dyDescent="0.35">
      <c r="A1679" t="s">
        <v>36</v>
      </c>
      <c r="B1679">
        <v>2017</v>
      </c>
      <c r="C1679">
        <v>130.59980227060171</v>
      </c>
    </row>
    <row r="1680" spans="1:3" x14ac:dyDescent="0.35">
      <c r="A1680" t="s">
        <v>36</v>
      </c>
      <c r="B1680">
        <v>2018</v>
      </c>
      <c r="C1680">
        <v>196.51823748174715</v>
      </c>
    </row>
    <row r="1681" spans="1:3" x14ac:dyDescent="0.35">
      <c r="A1681" t="s">
        <v>36</v>
      </c>
      <c r="B1681">
        <v>2019</v>
      </c>
      <c r="C1681">
        <v>215.32947853659851</v>
      </c>
    </row>
    <row r="1682" spans="1:3" x14ac:dyDescent="0.35">
      <c r="A1682" t="s">
        <v>36</v>
      </c>
      <c r="B1682">
        <v>2020</v>
      </c>
      <c r="C1682">
        <v>287.94356870366414</v>
      </c>
    </row>
    <row r="1683" spans="1:3" x14ac:dyDescent="0.35">
      <c r="A1683" t="s">
        <v>36</v>
      </c>
      <c r="B1683">
        <v>2021</v>
      </c>
      <c r="C1683">
        <v>309.0384174749866</v>
      </c>
    </row>
    <row r="1684" spans="1:3" x14ac:dyDescent="0.35">
      <c r="A1684" t="s">
        <v>36</v>
      </c>
      <c r="B1684">
        <v>2022</v>
      </c>
      <c r="C1684">
        <v>417.03919291056002</v>
      </c>
    </row>
    <row r="1685" spans="1:3" x14ac:dyDescent="0.35">
      <c r="A1685" t="s">
        <v>36</v>
      </c>
      <c r="B1685">
        <v>2023</v>
      </c>
      <c r="C1685">
        <v>404.04575871019938</v>
      </c>
    </row>
    <row r="1686" spans="1:3" x14ac:dyDescent="0.35">
      <c r="A1686" t="s">
        <v>36</v>
      </c>
      <c r="B1686">
        <v>2024</v>
      </c>
      <c r="C1686">
        <v>483.86511227603472</v>
      </c>
    </row>
    <row r="1687" spans="1:3" x14ac:dyDescent="0.35">
      <c r="A1687" t="s">
        <v>36</v>
      </c>
      <c r="B1687">
        <v>2025</v>
      </c>
      <c r="C1687">
        <v>468.06203979320065</v>
      </c>
    </row>
    <row r="1688" spans="1:3" x14ac:dyDescent="0.35">
      <c r="A1688" t="s">
        <v>37</v>
      </c>
      <c r="B1688">
        <v>1990</v>
      </c>
      <c r="C1688">
        <v>156.91912867368552</v>
      </c>
    </row>
    <row r="1689" spans="1:3" x14ac:dyDescent="0.35">
      <c r="A1689" t="s">
        <v>37</v>
      </c>
      <c r="B1689">
        <v>1991</v>
      </c>
      <c r="C1689">
        <v>144.76771978618922</v>
      </c>
    </row>
    <row r="1690" spans="1:3" x14ac:dyDescent="0.35">
      <c r="A1690" t="s">
        <v>37</v>
      </c>
      <c r="B1690">
        <v>1992</v>
      </c>
      <c r="C1690">
        <v>124.56127432933265</v>
      </c>
    </row>
    <row r="1691" spans="1:3" x14ac:dyDescent="0.35">
      <c r="A1691" t="s">
        <v>37</v>
      </c>
      <c r="B1691">
        <v>1993</v>
      </c>
      <c r="C1691">
        <v>70.155520329034744</v>
      </c>
    </row>
    <row r="1692" spans="1:3" x14ac:dyDescent="0.35">
      <c r="A1692" t="s">
        <v>37</v>
      </c>
      <c r="B1692">
        <v>1994</v>
      </c>
      <c r="C1692">
        <v>56.958995156021174</v>
      </c>
    </row>
    <row r="1693" spans="1:3" x14ac:dyDescent="0.35">
      <c r="A1693" t="s">
        <v>37</v>
      </c>
      <c r="B1693">
        <v>1995</v>
      </c>
      <c r="C1693">
        <v>68.236520185603339</v>
      </c>
    </row>
    <row r="1694" spans="1:3" x14ac:dyDescent="0.35">
      <c r="A1694" t="s">
        <v>37</v>
      </c>
      <c r="B1694">
        <v>1996</v>
      </c>
      <c r="C1694">
        <v>66.463535185551308</v>
      </c>
    </row>
    <row r="1695" spans="1:3" x14ac:dyDescent="0.35">
      <c r="A1695" t="s">
        <v>37</v>
      </c>
      <c r="B1695">
        <v>1997</v>
      </c>
      <c r="C1695">
        <v>83.659580378301882</v>
      </c>
    </row>
    <row r="1696" spans="1:3" x14ac:dyDescent="0.35">
      <c r="A1696" t="s">
        <v>37</v>
      </c>
      <c r="B1696">
        <v>1998</v>
      </c>
      <c r="C1696">
        <v>78.912428458761141</v>
      </c>
    </row>
    <row r="1697" spans="1:3" x14ac:dyDescent="0.35">
      <c r="A1697" t="s">
        <v>37</v>
      </c>
      <c r="B1697">
        <v>1999</v>
      </c>
      <c r="C1697">
        <v>105.76595716820417</v>
      </c>
    </row>
    <row r="1698" spans="1:3" x14ac:dyDescent="0.35">
      <c r="A1698" t="s">
        <v>37</v>
      </c>
      <c r="B1698">
        <v>2000</v>
      </c>
      <c r="C1698">
        <v>92.397796487810226</v>
      </c>
    </row>
    <row r="1699" spans="1:3" x14ac:dyDescent="0.35">
      <c r="A1699" t="s">
        <v>37</v>
      </c>
      <c r="B1699">
        <v>2001</v>
      </c>
      <c r="C1699">
        <v>96.75718244943188</v>
      </c>
    </row>
    <row r="1700" spans="1:3" x14ac:dyDescent="0.35">
      <c r="A1700" t="s">
        <v>37</v>
      </c>
      <c r="B1700">
        <v>2002</v>
      </c>
      <c r="C1700">
        <v>87.992258578652283</v>
      </c>
    </row>
    <row r="1701" spans="1:3" x14ac:dyDescent="0.35">
      <c r="A1701" t="s">
        <v>37</v>
      </c>
      <c r="B1701">
        <v>2003</v>
      </c>
      <c r="C1701">
        <v>129.44908952708283</v>
      </c>
    </row>
    <row r="1702" spans="1:3" x14ac:dyDescent="0.35">
      <c r="A1702" t="s">
        <v>37</v>
      </c>
      <c r="B1702">
        <v>2004</v>
      </c>
      <c r="C1702">
        <v>166.99717788314916</v>
      </c>
    </row>
    <row r="1703" spans="1:3" x14ac:dyDescent="0.35">
      <c r="A1703" t="s">
        <v>37</v>
      </c>
      <c r="B1703">
        <v>2005</v>
      </c>
      <c r="C1703">
        <v>192.07212080517917</v>
      </c>
    </row>
    <row r="1704" spans="1:3" x14ac:dyDescent="0.35">
      <c r="A1704" t="s">
        <v>37</v>
      </c>
      <c r="B1704">
        <v>2006</v>
      </c>
      <c r="C1704">
        <v>199.55918512009805</v>
      </c>
    </row>
    <row r="1705" spans="1:3" x14ac:dyDescent="0.35">
      <c r="A1705" t="s">
        <v>37</v>
      </c>
      <c r="B1705">
        <v>2007</v>
      </c>
      <c r="C1705">
        <v>228.17467357995392</v>
      </c>
    </row>
    <row r="1706" spans="1:3" x14ac:dyDescent="0.35">
      <c r="A1706" t="s">
        <v>37</v>
      </c>
      <c r="B1706">
        <v>2008</v>
      </c>
      <c r="C1706">
        <v>266.55584831081131</v>
      </c>
    </row>
    <row r="1707" spans="1:3" x14ac:dyDescent="0.35">
      <c r="A1707" t="s">
        <v>37</v>
      </c>
      <c r="B1707">
        <v>2009</v>
      </c>
      <c r="C1707">
        <v>297.78876588165213</v>
      </c>
    </row>
    <row r="1708" spans="1:3" x14ac:dyDescent="0.35">
      <c r="A1708" t="s">
        <v>37</v>
      </c>
      <c r="B1708">
        <v>2010</v>
      </c>
      <c r="C1708">
        <v>396.05061218921588</v>
      </c>
    </row>
    <row r="1709" spans="1:3" x14ac:dyDescent="0.35">
      <c r="A1709" t="s">
        <v>37</v>
      </c>
      <c r="B1709">
        <v>2011</v>
      </c>
      <c r="C1709">
        <v>441.22794100020207</v>
      </c>
    </row>
    <row r="1710" spans="1:3" x14ac:dyDescent="0.35">
      <c r="A1710" t="s">
        <v>37</v>
      </c>
      <c r="B1710">
        <v>2012</v>
      </c>
      <c r="C1710">
        <v>412.97835500036882</v>
      </c>
    </row>
    <row r="1711" spans="1:3" x14ac:dyDescent="0.35">
      <c r="A1711" t="s">
        <v>37</v>
      </c>
      <c r="B1711">
        <v>2013</v>
      </c>
      <c r="C1711">
        <v>386.15856801101529</v>
      </c>
    </row>
    <row r="1712" spans="1:3" x14ac:dyDescent="0.35">
      <c r="A1712" t="s">
        <v>37</v>
      </c>
      <c r="B1712">
        <v>2014</v>
      </c>
      <c r="C1712">
        <v>537.94019351395093</v>
      </c>
    </row>
    <row r="1713" spans="1:3" x14ac:dyDescent="0.35">
      <c r="A1713" t="s">
        <v>37</v>
      </c>
      <c r="B1713">
        <v>2015</v>
      </c>
      <c r="C1713">
        <v>513.25614289535758</v>
      </c>
    </row>
    <row r="1714" spans="1:3" x14ac:dyDescent="0.35">
      <c r="A1714" t="s">
        <v>37</v>
      </c>
      <c r="B1714">
        <v>2016</v>
      </c>
      <c r="C1714">
        <v>425.77618109834913</v>
      </c>
    </row>
    <row r="1715" spans="1:3" x14ac:dyDescent="0.35">
      <c r="A1715" t="s">
        <v>37</v>
      </c>
      <c r="B1715">
        <v>2017</v>
      </c>
      <c r="C1715">
        <v>453.94786259943362</v>
      </c>
    </row>
    <row r="1716" spans="1:3" x14ac:dyDescent="0.35">
      <c r="A1716" t="s">
        <v>37</v>
      </c>
      <c r="B1716">
        <v>2018</v>
      </c>
      <c r="C1716">
        <v>455.97960547153912</v>
      </c>
    </row>
    <row r="1717" spans="1:3" x14ac:dyDescent="0.35">
      <c r="A1717" t="s">
        <v>37</v>
      </c>
      <c r="B1717">
        <v>2019</v>
      </c>
      <c r="C1717">
        <v>413.55253159189323</v>
      </c>
    </row>
    <row r="1718" spans="1:3" x14ac:dyDescent="0.35">
      <c r="A1718" t="s">
        <v>37</v>
      </c>
      <c r="B1718">
        <v>2020</v>
      </c>
      <c r="C1718">
        <v>368.33060672446692</v>
      </c>
    </row>
    <row r="1719" spans="1:3" x14ac:dyDescent="0.35">
      <c r="A1719" t="s">
        <v>37</v>
      </c>
      <c r="B1719">
        <v>2021</v>
      </c>
      <c r="C1719">
        <v>400.1542763475075</v>
      </c>
    </row>
    <row r="1720" spans="1:3" x14ac:dyDescent="0.35">
      <c r="A1720" t="s">
        <v>37</v>
      </c>
      <c r="B1720">
        <v>2022</v>
      </c>
      <c r="C1720">
        <v>365.82152266542698</v>
      </c>
    </row>
    <row r="1721" spans="1:3" x14ac:dyDescent="0.35">
      <c r="A1721" t="s">
        <v>37</v>
      </c>
      <c r="B1721">
        <v>2023</v>
      </c>
      <c r="C1721">
        <v>338.93367101005367</v>
      </c>
    </row>
    <row r="1722" spans="1:3" x14ac:dyDescent="0.35">
      <c r="A1722" t="s">
        <v>37</v>
      </c>
      <c r="B1722">
        <v>2024</v>
      </c>
      <c r="C1722">
        <v>367.98519986232918</v>
      </c>
    </row>
    <row r="1723" spans="1:3" x14ac:dyDescent="0.35">
      <c r="A1723" t="s">
        <v>37</v>
      </c>
      <c r="B1723">
        <v>2025</v>
      </c>
      <c r="C1723">
        <v>410.52228416149939</v>
      </c>
    </row>
    <row r="1724" spans="1:3" x14ac:dyDescent="0.35">
      <c r="A1724" t="s">
        <v>38</v>
      </c>
      <c r="B1724">
        <v>1975</v>
      </c>
      <c r="C1724">
        <v>7.330399929075698</v>
      </c>
    </row>
    <row r="1725" spans="1:3" x14ac:dyDescent="0.35">
      <c r="A1725" t="s">
        <v>38</v>
      </c>
      <c r="B1725">
        <v>1976</v>
      </c>
      <c r="C1725">
        <v>8.1816279556392555</v>
      </c>
    </row>
    <row r="1726" spans="1:3" x14ac:dyDescent="0.35">
      <c r="A1726" t="s">
        <v>38</v>
      </c>
      <c r="B1726">
        <v>1977</v>
      </c>
      <c r="C1726">
        <v>11.010257245197003</v>
      </c>
    </row>
    <row r="1727" spans="1:3" x14ac:dyDescent="0.35">
      <c r="A1727" t="s">
        <v>38</v>
      </c>
      <c r="B1727">
        <v>1978</v>
      </c>
      <c r="C1727">
        <v>14.774701315276349</v>
      </c>
    </row>
    <row r="1728" spans="1:3" x14ac:dyDescent="0.35">
      <c r="A1728" t="s">
        <v>38</v>
      </c>
      <c r="B1728">
        <v>1979</v>
      </c>
      <c r="C1728">
        <v>17.482911969612921</v>
      </c>
    </row>
    <row r="1729" spans="1:3" x14ac:dyDescent="0.35">
      <c r="A1729" t="s">
        <v>38</v>
      </c>
      <c r="B1729">
        <v>1980</v>
      </c>
      <c r="C1729">
        <v>17.039000378644452</v>
      </c>
    </row>
    <row r="1730" spans="1:3" x14ac:dyDescent="0.35">
      <c r="A1730" t="s">
        <v>38</v>
      </c>
      <c r="B1730">
        <v>1981</v>
      </c>
      <c r="C1730">
        <v>13.984418413798942</v>
      </c>
    </row>
    <row r="1731" spans="1:3" x14ac:dyDescent="0.35">
      <c r="A1731" t="s">
        <v>38</v>
      </c>
      <c r="B1731">
        <v>1982</v>
      </c>
      <c r="C1731">
        <v>12.781263884408684</v>
      </c>
    </row>
    <row r="1732" spans="1:3" x14ac:dyDescent="0.35">
      <c r="A1732" t="s">
        <v>38</v>
      </c>
      <c r="B1732">
        <v>1983</v>
      </c>
      <c r="C1732">
        <v>12.354815176373647</v>
      </c>
    </row>
    <row r="1733" spans="1:3" x14ac:dyDescent="0.35">
      <c r="A1733" t="s">
        <v>38</v>
      </c>
      <c r="B1733">
        <v>1984</v>
      </c>
      <c r="C1733">
        <v>10.632625178221199</v>
      </c>
    </row>
    <row r="1734" spans="1:3" x14ac:dyDescent="0.35">
      <c r="A1734" t="s">
        <v>38</v>
      </c>
      <c r="B1734">
        <v>1985</v>
      </c>
      <c r="C1734">
        <v>10.877815444405615</v>
      </c>
    </row>
    <row r="1735" spans="1:3" x14ac:dyDescent="0.35">
      <c r="A1735" t="s">
        <v>38</v>
      </c>
      <c r="B1735">
        <v>1986</v>
      </c>
      <c r="C1735">
        <v>14.412109521636935</v>
      </c>
    </row>
    <row r="1736" spans="1:3" x14ac:dyDescent="0.35">
      <c r="A1736" t="s">
        <v>38</v>
      </c>
      <c r="B1736">
        <v>1987</v>
      </c>
      <c r="C1736">
        <v>13.662211308424588</v>
      </c>
    </row>
    <row r="1737" spans="1:3" x14ac:dyDescent="0.35">
      <c r="A1737" t="s">
        <v>38</v>
      </c>
      <c r="B1737">
        <v>1994</v>
      </c>
      <c r="C1737">
        <v>17.471024216280473</v>
      </c>
    </row>
    <row r="1738" spans="1:3" x14ac:dyDescent="0.35">
      <c r="A1738" t="s">
        <v>38</v>
      </c>
      <c r="B1738">
        <v>1995</v>
      </c>
      <c r="C1738">
        <v>18.431407117728611</v>
      </c>
    </row>
    <row r="1739" spans="1:3" x14ac:dyDescent="0.35">
      <c r="A1739" t="s">
        <v>38</v>
      </c>
      <c r="B1739">
        <v>1996</v>
      </c>
      <c r="C1739">
        <v>17.398035781308643</v>
      </c>
    </row>
    <row r="1740" spans="1:3" x14ac:dyDescent="0.35">
      <c r="A1740" t="s">
        <v>38</v>
      </c>
      <c r="B1740">
        <v>1997</v>
      </c>
      <c r="C1740">
        <v>17.304328309367126</v>
      </c>
    </row>
    <row r="1741" spans="1:3" x14ac:dyDescent="0.35">
      <c r="A1741" t="s">
        <v>38</v>
      </c>
      <c r="B1741">
        <v>1998</v>
      </c>
      <c r="C1741">
        <v>22.035691039270993</v>
      </c>
    </row>
    <row r="1742" spans="1:3" x14ac:dyDescent="0.35">
      <c r="A1742" t="s">
        <v>38</v>
      </c>
      <c r="B1742">
        <v>1999</v>
      </c>
      <c r="C1742">
        <v>23.550468654326224</v>
      </c>
    </row>
    <row r="1743" spans="1:3" x14ac:dyDescent="0.35">
      <c r="A1743" t="s">
        <v>38</v>
      </c>
      <c r="B1743">
        <v>2000</v>
      </c>
      <c r="C1743">
        <v>20.084946683596076</v>
      </c>
    </row>
    <row r="1744" spans="1:3" x14ac:dyDescent="0.35">
      <c r="A1744" t="s">
        <v>38</v>
      </c>
      <c r="B1744">
        <v>2001</v>
      </c>
      <c r="C1744">
        <v>24.828146933519225</v>
      </c>
    </row>
    <row r="1745" spans="1:3" x14ac:dyDescent="0.35">
      <c r="A1745" t="s">
        <v>38</v>
      </c>
      <c r="B1745">
        <v>2002</v>
      </c>
      <c r="C1745">
        <v>20.66032700706468</v>
      </c>
    </row>
    <row r="1746" spans="1:3" x14ac:dyDescent="0.35">
      <c r="A1746" t="s">
        <v>38</v>
      </c>
      <c r="B1746">
        <v>2003</v>
      </c>
      <c r="C1746">
        <v>24.604267033723328</v>
      </c>
    </row>
    <row r="1747" spans="1:3" x14ac:dyDescent="0.35">
      <c r="A1747" t="s">
        <v>38</v>
      </c>
      <c r="B1747">
        <v>2004</v>
      </c>
      <c r="C1747">
        <v>31.61172473191554</v>
      </c>
    </row>
    <row r="1748" spans="1:3" x14ac:dyDescent="0.35">
      <c r="A1748" t="s">
        <v>38</v>
      </c>
      <c r="B1748">
        <v>2005</v>
      </c>
      <c r="C1748">
        <v>32.798198184534421</v>
      </c>
    </row>
    <row r="1749" spans="1:3" x14ac:dyDescent="0.35">
      <c r="A1749" t="s">
        <v>38</v>
      </c>
      <c r="B1749">
        <v>2008</v>
      </c>
      <c r="C1749">
        <v>53.630486484072307</v>
      </c>
    </row>
    <row r="1750" spans="1:3" x14ac:dyDescent="0.35">
      <c r="A1750" t="s">
        <v>38</v>
      </c>
      <c r="B1750">
        <v>2009</v>
      </c>
      <c r="C1750">
        <v>53.00030072895003</v>
      </c>
    </row>
    <row r="1751" spans="1:3" x14ac:dyDescent="0.35">
      <c r="A1751" t="s">
        <v>38</v>
      </c>
      <c r="B1751">
        <v>2010</v>
      </c>
      <c r="C1751">
        <v>66.889841442263616</v>
      </c>
    </row>
    <row r="1752" spans="1:3" x14ac:dyDescent="0.35">
      <c r="A1752" t="s">
        <v>38</v>
      </c>
      <c r="B1752">
        <v>2011</v>
      </c>
      <c r="C1752">
        <v>83.947561383952234</v>
      </c>
    </row>
    <row r="1753" spans="1:3" x14ac:dyDescent="0.35">
      <c r="A1753" t="s">
        <v>38</v>
      </c>
      <c r="B1753">
        <v>2012</v>
      </c>
      <c r="C1753">
        <v>148.86577987060431</v>
      </c>
    </row>
    <row r="1754" spans="1:3" x14ac:dyDescent="0.35">
      <c r="A1754" t="s">
        <v>38</v>
      </c>
      <c r="B1754">
        <v>2013</v>
      </c>
      <c r="C1754">
        <v>106.06428629260789</v>
      </c>
    </row>
    <row r="1755" spans="1:3" x14ac:dyDescent="0.35">
      <c r="A1755" t="s">
        <v>38</v>
      </c>
      <c r="B1755">
        <v>2014</v>
      </c>
      <c r="C1755">
        <v>145.60036985706867</v>
      </c>
    </row>
    <row r="1756" spans="1:3" x14ac:dyDescent="0.35">
      <c r="A1756" t="s">
        <v>38</v>
      </c>
      <c r="B1756">
        <v>2016</v>
      </c>
      <c r="C1756">
        <v>166.19229232836253</v>
      </c>
    </row>
    <row r="1757" spans="1:3" x14ac:dyDescent="0.35">
      <c r="A1757" t="s">
        <v>38</v>
      </c>
      <c r="B1757">
        <v>2017</v>
      </c>
      <c r="C1757">
        <v>200.18392997036688</v>
      </c>
    </row>
    <row r="1758" spans="1:3" x14ac:dyDescent="0.35">
      <c r="A1758" t="s">
        <v>38</v>
      </c>
      <c r="B1758">
        <v>2018</v>
      </c>
      <c r="C1758">
        <v>229.63990614383599</v>
      </c>
    </row>
    <row r="1759" spans="1:3" x14ac:dyDescent="0.35">
      <c r="A1759" t="s">
        <v>38</v>
      </c>
      <c r="B1759">
        <v>2019</v>
      </c>
      <c r="C1759">
        <v>247.63208284552817</v>
      </c>
    </row>
    <row r="1760" spans="1:3" x14ac:dyDescent="0.35">
      <c r="A1760" t="s">
        <v>38</v>
      </c>
      <c r="B1760">
        <v>2020</v>
      </c>
      <c r="C1760">
        <v>238.26958833649013</v>
      </c>
    </row>
    <row r="1761" spans="1:3" x14ac:dyDescent="0.35">
      <c r="A1761" t="s">
        <v>38</v>
      </c>
      <c r="B1761">
        <v>2021</v>
      </c>
      <c r="C1761">
        <v>202.40447720290214</v>
      </c>
    </row>
    <row r="1762" spans="1:3" x14ac:dyDescent="0.35">
      <c r="A1762" t="s">
        <v>38</v>
      </c>
      <c r="B1762">
        <v>2022</v>
      </c>
      <c r="C1762">
        <v>242.50704632375869</v>
      </c>
    </row>
    <row r="1763" spans="1:3" x14ac:dyDescent="0.35">
      <c r="A1763" t="s">
        <v>38</v>
      </c>
      <c r="B1763">
        <v>2023</v>
      </c>
      <c r="C1763">
        <v>331.9173103256951</v>
      </c>
    </row>
    <row r="1764" spans="1:3" x14ac:dyDescent="0.35">
      <c r="A1764" t="s">
        <v>38</v>
      </c>
      <c r="B1764">
        <v>2024</v>
      </c>
      <c r="C1764">
        <v>435.92487818784014</v>
      </c>
    </row>
    <row r="1765" spans="1:3" x14ac:dyDescent="0.35">
      <c r="A1765" t="s">
        <v>38</v>
      </c>
      <c r="B1765">
        <v>2025</v>
      </c>
      <c r="C1765">
        <v>488.89041755520395</v>
      </c>
    </row>
    <row r="1766" spans="1:3" x14ac:dyDescent="0.35">
      <c r="A1766" t="s">
        <v>39</v>
      </c>
      <c r="B1766">
        <v>1960</v>
      </c>
      <c r="C1766">
        <v>23.379990648003741</v>
      </c>
    </row>
    <row r="1767" spans="1:3" x14ac:dyDescent="0.35">
      <c r="A1767" t="s">
        <v>39</v>
      </c>
      <c r="B1767">
        <v>1961</v>
      </c>
      <c r="C1767">
        <v>28.279988688004526</v>
      </c>
    </row>
    <row r="1768" spans="1:3" x14ac:dyDescent="0.35">
      <c r="A1768" t="s">
        <v>39</v>
      </c>
      <c r="B1768">
        <v>1962</v>
      </c>
      <c r="C1768">
        <v>38.639984544006182</v>
      </c>
    </row>
    <row r="1769" spans="1:3" x14ac:dyDescent="0.35">
      <c r="A1769" t="s">
        <v>39</v>
      </c>
      <c r="B1769">
        <v>1963</v>
      </c>
      <c r="C1769">
        <v>45.499981800007284</v>
      </c>
    </row>
    <row r="1770" spans="1:3" x14ac:dyDescent="0.35">
      <c r="A1770" t="s">
        <v>39</v>
      </c>
      <c r="B1770">
        <v>1964</v>
      </c>
      <c r="C1770">
        <v>54.319978272008697</v>
      </c>
    </row>
    <row r="1771" spans="1:3" x14ac:dyDescent="0.35">
      <c r="A1771" t="s">
        <v>39</v>
      </c>
      <c r="B1771">
        <v>1965</v>
      </c>
      <c r="C1771">
        <v>65.939973624010563</v>
      </c>
    </row>
    <row r="1772" spans="1:3" x14ac:dyDescent="0.35">
      <c r="A1772" t="s">
        <v>39</v>
      </c>
      <c r="B1772">
        <v>1966</v>
      </c>
      <c r="C1772">
        <v>55.719977712008912</v>
      </c>
    </row>
    <row r="1773" spans="1:3" x14ac:dyDescent="0.35">
      <c r="A1773" t="s">
        <v>39</v>
      </c>
      <c r="B1773">
        <v>1967</v>
      </c>
      <c r="C1773">
        <v>239.95990401603839</v>
      </c>
    </row>
    <row r="1774" spans="1:3" x14ac:dyDescent="0.35">
      <c r="A1774" t="s">
        <v>39</v>
      </c>
      <c r="B1774">
        <v>1968</v>
      </c>
      <c r="C1774">
        <v>369.03985238405909</v>
      </c>
    </row>
    <row r="1775" spans="1:3" x14ac:dyDescent="0.35">
      <c r="A1775" t="s">
        <v>39</v>
      </c>
      <c r="B1775">
        <v>1969</v>
      </c>
      <c r="C1775">
        <v>684.45972621610952</v>
      </c>
    </row>
    <row r="1776" spans="1:3" x14ac:dyDescent="0.35">
      <c r="A1776" t="s">
        <v>39</v>
      </c>
      <c r="B1776">
        <v>1970</v>
      </c>
      <c r="C1776">
        <v>662.33973506410598</v>
      </c>
    </row>
    <row r="1777" spans="1:3" x14ac:dyDescent="0.35">
      <c r="A1777" t="s">
        <v>39</v>
      </c>
      <c r="B1777">
        <v>1971</v>
      </c>
      <c r="C1777">
        <v>639.25954189906508</v>
      </c>
    </row>
    <row r="1778" spans="1:3" x14ac:dyDescent="0.35">
      <c r="A1778" t="s">
        <v>39</v>
      </c>
      <c r="B1778">
        <v>1972</v>
      </c>
      <c r="C1778">
        <v>904.09563836174459</v>
      </c>
    </row>
    <row r="1779" spans="1:3" x14ac:dyDescent="0.35">
      <c r="A1779" t="s">
        <v>39</v>
      </c>
      <c r="B1779">
        <v>1973</v>
      </c>
      <c r="C1779">
        <v>1020.2235919105632</v>
      </c>
    </row>
    <row r="1780" spans="1:3" x14ac:dyDescent="0.35">
      <c r="A1780" t="s">
        <v>39</v>
      </c>
      <c r="B1780">
        <v>1974</v>
      </c>
      <c r="C1780">
        <v>1351.1412351931358</v>
      </c>
    </row>
    <row r="1781" spans="1:3" x14ac:dyDescent="0.35">
      <c r="A1781" t="s">
        <v>39</v>
      </c>
      <c r="B1781">
        <v>1975</v>
      </c>
      <c r="C1781">
        <v>3028.5847974498865</v>
      </c>
    </row>
    <row r="1782" spans="1:3" x14ac:dyDescent="0.35">
      <c r="A1782" t="s">
        <v>39</v>
      </c>
      <c r="B1782">
        <v>1976</v>
      </c>
      <c r="C1782">
        <v>2644.426038260392</v>
      </c>
    </row>
    <row r="1783" spans="1:3" x14ac:dyDescent="0.35">
      <c r="A1783" t="s">
        <v>39</v>
      </c>
      <c r="B1783">
        <v>1977</v>
      </c>
      <c r="C1783">
        <v>3138.1989480394786</v>
      </c>
    </row>
    <row r="1784" spans="1:3" x14ac:dyDescent="0.35">
      <c r="A1784" t="s">
        <v>39</v>
      </c>
      <c r="B1784">
        <v>1978</v>
      </c>
      <c r="C1784">
        <v>3022.6422697679104</v>
      </c>
    </row>
    <row r="1785" spans="1:3" x14ac:dyDescent="0.35">
      <c r="A1785" t="s">
        <v>39</v>
      </c>
      <c r="B1785">
        <v>1979</v>
      </c>
      <c r="C1785">
        <v>3070.8253381169425</v>
      </c>
    </row>
    <row r="1786" spans="1:3" x14ac:dyDescent="0.35">
      <c r="A1786" t="s">
        <v>39</v>
      </c>
      <c r="B1786">
        <v>1980</v>
      </c>
      <c r="C1786">
        <v>3029.9150848328677</v>
      </c>
    </row>
    <row r="1787" spans="1:3" x14ac:dyDescent="0.35">
      <c r="A1787" t="s">
        <v>39</v>
      </c>
      <c r="B1787">
        <v>1981</v>
      </c>
      <c r="C1787">
        <v>2135.4750140843248</v>
      </c>
    </row>
    <row r="1788" spans="1:3" x14ac:dyDescent="0.35">
      <c r="A1788" t="s">
        <v>39</v>
      </c>
      <c r="B1788">
        <v>1982</v>
      </c>
      <c r="C1788">
        <v>1651.9145132383317</v>
      </c>
    </row>
    <row r="1789" spans="1:3" x14ac:dyDescent="0.35">
      <c r="A1789" t="s">
        <v>39</v>
      </c>
      <c r="B1789">
        <v>1983</v>
      </c>
      <c r="C1789">
        <v>1627.3933269833381</v>
      </c>
    </row>
    <row r="1790" spans="1:3" x14ac:dyDescent="0.35">
      <c r="A1790" t="s">
        <v>39</v>
      </c>
      <c r="B1790">
        <v>1984</v>
      </c>
      <c r="C1790">
        <v>1210.916249525457</v>
      </c>
    </row>
    <row r="1791" spans="1:3" x14ac:dyDescent="0.35">
      <c r="A1791" t="s">
        <v>39</v>
      </c>
      <c r="B1791">
        <v>1985</v>
      </c>
      <c r="C1791">
        <v>1091.6629931056398</v>
      </c>
    </row>
    <row r="1792" spans="1:3" x14ac:dyDescent="0.35">
      <c r="A1792" t="s">
        <v>39</v>
      </c>
      <c r="B1792">
        <v>1986</v>
      </c>
      <c r="C1792">
        <v>516.89350933588673</v>
      </c>
    </row>
    <row r="1793" spans="1:3" x14ac:dyDescent="0.35">
      <c r="A1793" t="s">
        <v>39</v>
      </c>
      <c r="B1793">
        <v>1987</v>
      </c>
      <c r="C1793">
        <v>201.69121821495801</v>
      </c>
    </row>
    <row r="1794" spans="1:3" x14ac:dyDescent="0.35">
      <c r="A1794" t="s">
        <v>39</v>
      </c>
      <c r="B1794">
        <v>1988</v>
      </c>
      <c r="C1794">
        <v>271.10604654648364</v>
      </c>
    </row>
    <row r="1795" spans="1:3" x14ac:dyDescent="0.35">
      <c r="A1795" t="s">
        <v>39</v>
      </c>
      <c r="B1795">
        <v>1989</v>
      </c>
      <c r="C1795">
        <v>170.70551126789442</v>
      </c>
    </row>
    <row r="1796" spans="1:3" x14ac:dyDescent="0.35">
      <c r="A1796" t="s">
        <v>39</v>
      </c>
      <c r="B1796">
        <v>1990</v>
      </c>
      <c r="C1796">
        <v>277.29778348380063</v>
      </c>
    </row>
    <row r="1797" spans="1:3" x14ac:dyDescent="0.35">
      <c r="A1797" t="s">
        <v>39</v>
      </c>
      <c r="B1797">
        <v>1991</v>
      </c>
      <c r="C1797">
        <v>243.70578102404866</v>
      </c>
    </row>
    <row r="1798" spans="1:3" x14ac:dyDescent="0.35">
      <c r="A1798" t="s">
        <v>39</v>
      </c>
      <c r="B1798">
        <v>1992</v>
      </c>
      <c r="C1798">
        <v>173.65767932294315</v>
      </c>
    </row>
    <row r="1799" spans="1:3" x14ac:dyDescent="0.35">
      <c r="A1799" t="s">
        <v>39</v>
      </c>
      <c r="B1799">
        <v>1993</v>
      </c>
      <c r="C1799">
        <v>289.23110390022384</v>
      </c>
    </row>
    <row r="1800" spans="1:3" x14ac:dyDescent="0.35">
      <c r="A1800" t="s">
        <v>39</v>
      </c>
      <c r="B1800">
        <v>1994</v>
      </c>
      <c r="C1800">
        <v>319.6944899072559</v>
      </c>
    </row>
    <row r="1801" spans="1:3" x14ac:dyDescent="0.35">
      <c r="A1801" t="s">
        <v>39</v>
      </c>
      <c r="B1801">
        <v>1995</v>
      </c>
      <c r="C1801">
        <v>639.40663064675982</v>
      </c>
    </row>
    <row r="1802" spans="1:3" x14ac:dyDescent="0.35">
      <c r="A1802" t="s">
        <v>39</v>
      </c>
      <c r="B1802">
        <v>1996</v>
      </c>
      <c r="C1802">
        <v>701.41287858017586</v>
      </c>
    </row>
    <row r="1803" spans="1:3" x14ac:dyDescent="0.35">
      <c r="A1803" t="s">
        <v>39</v>
      </c>
      <c r="B1803">
        <v>1997</v>
      </c>
      <c r="C1803">
        <v>818.78452533799998</v>
      </c>
    </row>
    <row r="1804" spans="1:3" x14ac:dyDescent="0.35">
      <c r="A1804" t="s">
        <v>39</v>
      </c>
      <c r="B1804">
        <v>1998</v>
      </c>
      <c r="C1804">
        <v>1149.6847299643607</v>
      </c>
    </row>
    <row r="1805" spans="1:3" x14ac:dyDescent="0.35">
      <c r="A1805" t="s">
        <v>39</v>
      </c>
      <c r="B1805">
        <v>1999</v>
      </c>
      <c r="C1805">
        <v>491.67136858999697</v>
      </c>
    </row>
    <row r="1806" spans="1:3" x14ac:dyDescent="0.35">
      <c r="A1806" t="s">
        <v>39</v>
      </c>
      <c r="B1806">
        <v>2000</v>
      </c>
      <c r="C1806">
        <v>368.64410946242265</v>
      </c>
    </row>
    <row r="1807" spans="1:3" x14ac:dyDescent="0.35">
      <c r="A1807" t="s">
        <v>39</v>
      </c>
      <c r="B1807">
        <v>2001</v>
      </c>
      <c r="C1807">
        <v>570.63228776150538</v>
      </c>
    </row>
    <row r="1808" spans="1:3" x14ac:dyDescent="0.35">
      <c r="A1808" t="s">
        <v>39</v>
      </c>
      <c r="B1808">
        <v>2002</v>
      </c>
      <c r="C1808">
        <v>896.91320141319306</v>
      </c>
    </row>
    <row r="1809" spans="1:3" x14ac:dyDescent="0.35">
      <c r="A1809" t="s">
        <v>39</v>
      </c>
      <c r="B1809">
        <v>2003</v>
      </c>
      <c r="C1809">
        <v>587.46188729473306</v>
      </c>
    </row>
    <row r="1810" spans="1:3" x14ac:dyDescent="0.35">
      <c r="A1810" t="s">
        <v>39</v>
      </c>
      <c r="B1810">
        <v>2004</v>
      </c>
      <c r="C1810">
        <v>639.99006682318941</v>
      </c>
    </row>
    <row r="1811" spans="1:3" x14ac:dyDescent="0.35">
      <c r="A1811" t="s">
        <v>39</v>
      </c>
      <c r="B1811">
        <v>2005</v>
      </c>
      <c r="C1811">
        <v>674.20814479638</v>
      </c>
    </row>
    <row r="1812" spans="1:3" x14ac:dyDescent="0.35">
      <c r="A1812" t="s">
        <v>39</v>
      </c>
      <c r="B1812">
        <v>2006</v>
      </c>
      <c r="C1812">
        <v>776.14805832789239</v>
      </c>
    </row>
    <row r="1813" spans="1:3" x14ac:dyDescent="0.35">
      <c r="A1813" t="s">
        <v>39</v>
      </c>
      <c r="B1813">
        <v>2007</v>
      </c>
      <c r="C1813">
        <v>971.3213786086734</v>
      </c>
    </row>
    <row r="1814" spans="1:3" x14ac:dyDescent="0.35">
      <c r="A1814" t="s">
        <v>39</v>
      </c>
      <c r="B1814">
        <v>2008</v>
      </c>
      <c r="C1814">
        <v>1615.5332107367603</v>
      </c>
    </row>
    <row r="1815" spans="1:3" x14ac:dyDescent="0.35">
      <c r="A1815" t="s">
        <v>39</v>
      </c>
      <c r="B1815">
        <v>2009</v>
      </c>
      <c r="C1815">
        <v>1504.4861721132022</v>
      </c>
    </row>
    <row r="1816" spans="1:3" x14ac:dyDescent="0.35">
      <c r="A1816" t="s">
        <v>39</v>
      </c>
      <c r="B1816">
        <v>2010</v>
      </c>
      <c r="C1816">
        <v>1990.0996686582655</v>
      </c>
    </row>
    <row r="1817" spans="1:3" x14ac:dyDescent="0.35">
      <c r="A1817" t="s">
        <v>39</v>
      </c>
      <c r="B1817">
        <v>2011</v>
      </c>
      <c r="C1817">
        <v>2384.9360217138424</v>
      </c>
    </row>
    <row r="1818" spans="1:3" x14ac:dyDescent="0.35">
      <c r="A1818" t="s">
        <v>39</v>
      </c>
      <c r="B1818">
        <v>2012</v>
      </c>
      <c r="C1818">
        <v>2316.4781998615867</v>
      </c>
    </row>
    <row r="1819" spans="1:3" x14ac:dyDescent="0.35">
      <c r="A1819" t="s">
        <v>39</v>
      </c>
      <c r="B1819">
        <v>2013</v>
      </c>
      <c r="C1819">
        <v>2418.7601708706266</v>
      </c>
    </row>
    <row r="1820" spans="1:3" x14ac:dyDescent="0.35">
      <c r="A1820" t="s">
        <v>39</v>
      </c>
      <c r="B1820">
        <v>2014</v>
      </c>
      <c r="C1820">
        <v>2357.6712192906225</v>
      </c>
    </row>
    <row r="1821" spans="1:3" x14ac:dyDescent="0.35">
      <c r="A1821" t="s">
        <v>39</v>
      </c>
      <c r="B1821">
        <v>2015</v>
      </c>
      <c r="C1821">
        <v>2065.557663350914</v>
      </c>
    </row>
    <row r="1822" spans="1:3" x14ac:dyDescent="0.35">
      <c r="A1822" t="s">
        <v>39</v>
      </c>
      <c r="B1822">
        <v>2016</v>
      </c>
      <c r="C1822">
        <v>1751.9211651649757</v>
      </c>
    </row>
    <row r="1823" spans="1:3" x14ac:dyDescent="0.35">
      <c r="A1823" t="s">
        <v>39</v>
      </c>
      <c r="B1823">
        <v>2017</v>
      </c>
      <c r="C1823">
        <v>1618.2276181505827</v>
      </c>
    </row>
    <row r="1824" spans="1:3" x14ac:dyDescent="0.35">
      <c r="A1824" t="s">
        <v>39</v>
      </c>
      <c r="B1824">
        <v>2018</v>
      </c>
      <c r="C1824">
        <v>2137.9741068583048</v>
      </c>
    </row>
    <row r="1825" spans="1:3" x14ac:dyDescent="0.35">
      <c r="A1825" t="s">
        <v>39</v>
      </c>
      <c r="B1825">
        <v>2019</v>
      </c>
      <c r="C1825">
        <v>2178.8411535352957</v>
      </c>
    </row>
    <row r="1826" spans="1:3" x14ac:dyDescent="0.35">
      <c r="A1826" t="s">
        <v>39</v>
      </c>
      <c r="B1826">
        <v>2020</v>
      </c>
      <c r="C1826">
        <v>2717.0587046135961</v>
      </c>
    </row>
    <row r="1827" spans="1:3" x14ac:dyDescent="0.35">
      <c r="A1827" t="s">
        <v>39</v>
      </c>
      <c r="B1827">
        <v>2021</v>
      </c>
      <c r="C1827">
        <v>4444.9980808114969</v>
      </c>
    </row>
    <row r="1828" spans="1:3" x14ac:dyDescent="0.35">
      <c r="A1828" t="s">
        <v>39</v>
      </c>
      <c r="B1828">
        <v>2022</v>
      </c>
      <c r="C1828">
        <v>3088.6722392026059</v>
      </c>
    </row>
    <row r="1829" spans="1:3" x14ac:dyDescent="0.35">
      <c r="A1829" t="s">
        <v>39</v>
      </c>
      <c r="B1829">
        <v>2023</v>
      </c>
      <c r="C1829">
        <v>3061.7144489270245</v>
      </c>
    </row>
    <row r="1830" spans="1:3" x14ac:dyDescent="0.35">
      <c r="A1830" t="s">
        <v>39</v>
      </c>
      <c r="B1830">
        <v>2024</v>
      </c>
      <c r="C1830">
        <v>1134.8475291713034</v>
      </c>
    </row>
    <row r="1831" spans="1:3" x14ac:dyDescent="0.35">
      <c r="A1831" t="s">
        <v>39</v>
      </c>
      <c r="B1831">
        <v>2025</v>
      </c>
      <c r="C1831">
        <v>2101.6775279642793</v>
      </c>
    </row>
    <row r="1832" spans="1:3" x14ac:dyDescent="0.35">
      <c r="A1832" t="s">
        <v>40</v>
      </c>
      <c r="B1832">
        <v>1973</v>
      </c>
      <c r="C1832">
        <v>9.3658397083005642</v>
      </c>
    </row>
    <row r="1833" spans="1:3" x14ac:dyDescent="0.35">
      <c r="A1833" t="s">
        <v>40</v>
      </c>
      <c r="B1833">
        <v>1974</v>
      </c>
      <c r="C1833">
        <v>7.7867463983609113</v>
      </c>
    </row>
    <row r="1834" spans="1:3" x14ac:dyDescent="0.35">
      <c r="A1834" t="s">
        <v>40</v>
      </c>
      <c r="B1834">
        <v>1975</v>
      </c>
      <c r="C1834">
        <v>9.3197351894778038</v>
      </c>
    </row>
    <row r="1835" spans="1:3" x14ac:dyDescent="0.35">
      <c r="A1835" t="s">
        <v>40</v>
      </c>
      <c r="B1835">
        <v>1976</v>
      </c>
      <c r="C1835">
        <v>10.297663285995695</v>
      </c>
    </row>
    <row r="1836" spans="1:3" x14ac:dyDescent="0.35">
      <c r="A1836" t="s">
        <v>40</v>
      </c>
      <c r="B1836">
        <v>1977</v>
      </c>
      <c r="C1836">
        <v>16.062942551787614</v>
      </c>
    </row>
    <row r="1837" spans="1:3" x14ac:dyDescent="0.35">
      <c r="A1837" t="s">
        <v>40</v>
      </c>
      <c r="B1837">
        <v>1978</v>
      </c>
      <c r="C1837">
        <v>14.393007322777716</v>
      </c>
    </row>
    <row r="1838" spans="1:3" x14ac:dyDescent="0.35">
      <c r="A1838" t="s">
        <v>40</v>
      </c>
      <c r="B1838">
        <v>1979</v>
      </c>
      <c r="C1838">
        <v>19.633017151782141</v>
      </c>
    </row>
    <row r="1839" spans="1:3" x14ac:dyDescent="0.35">
      <c r="A1839" t="s">
        <v>40</v>
      </c>
      <c r="B1839">
        <v>1980</v>
      </c>
      <c r="C1839">
        <v>23.552267559336727</v>
      </c>
    </row>
    <row r="1840" spans="1:3" x14ac:dyDescent="0.35">
      <c r="A1840" t="s">
        <v>40</v>
      </c>
      <c r="B1840">
        <v>1981</v>
      </c>
      <c r="C1840">
        <v>28.682783331402021</v>
      </c>
    </row>
    <row r="1841" spans="1:3" x14ac:dyDescent="0.35">
      <c r="A1841" t="s">
        <v>40</v>
      </c>
      <c r="B1841">
        <v>1982</v>
      </c>
      <c r="C1841">
        <v>28.175370728562218</v>
      </c>
    </row>
    <row r="1842" spans="1:3" x14ac:dyDescent="0.35">
      <c r="A1842" t="s">
        <v>40</v>
      </c>
      <c r="B1842">
        <v>1983</v>
      </c>
      <c r="C1842">
        <v>28.024671701325474</v>
      </c>
    </row>
    <row r="1843" spans="1:3" x14ac:dyDescent="0.35">
      <c r="A1843" t="s">
        <v>40</v>
      </c>
      <c r="B1843">
        <v>1984</v>
      </c>
      <c r="C1843">
        <v>25.460676623467318</v>
      </c>
    </row>
    <row r="1844" spans="1:3" x14ac:dyDescent="0.35">
      <c r="A1844" t="s">
        <v>40</v>
      </c>
      <c r="B1844">
        <v>1985</v>
      </c>
      <c r="C1844">
        <v>27.250728431033629</v>
      </c>
    </row>
    <row r="1845" spans="1:3" x14ac:dyDescent="0.35">
      <c r="A1845" t="s">
        <v>40</v>
      </c>
      <c r="B1845">
        <v>1986</v>
      </c>
      <c r="C1845">
        <v>34.889469111517286</v>
      </c>
    </row>
    <row r="1846" spans="1:3" x14ac:dyDescent="0.35">
      <c r="A1846" t="s">
        <v>40</v>
      </c>
      <c r="B1846">
        <v>1987</v>
      </c>
      <c r="C1846">
        <v>36.093359476268745</v>
      </c>
    </row>
    <row r="1847" spans="1:3" x14ac:dyDescent="0.35">
      <c r="A1847" t="s">
        <v>40</v>
      </c>
      <c r="B1847">
        <v>1988</v>
      </c>
      <c r="C1847">
        <v>36.626347162831586</v>
      </c>
    </row>
    <row r="1848" spans="1:3" x14ac:dyDescent="0.35">
      <c r="A1848" t="s">
        <v>40</v>
      </c>
      <c r="B1848">
        <v>1989</v>
      </c>
      <c r="C1848">
        <v>41.622478134474541</v>
      </c>
    </row>
    <row r="1849" spans="1:3" x14ac:dyDescent="0.35">
      <c r="A1849" t="s">
        <v>40</v>
      </c>
      <c r="B1849">
        <v>1990</v>
      </c>
      <c r="C1849">
        <v>95.132735433509225</v>
      </c>
    </row>
    <row r="1850" spans="1:3" x14ac:dyDescent="0.35">
      <c r="A1850" t="s">
        <v>40</v>
      </c>
      <c r="B1850">
        <v>1991</v>
      </c>
      <c r="C1850">
        <v>105.33380205170816</v>
      </c>
    </row>
    <row r="1851" spans="1:3" x14ac:dyDescent="0.35">
      <c r="A1851" t="s">
        <v>40</v>
      </c>
      <c r="B1851">
        <v>1992</v>
      </c>
      <c r="C1851">
        <v>88.570170002762453</v>
      </c>
    </row>
    <row r="1852" spans="1:3" x14ac:dyDescent="0.35">
      <c r="A1852" t="s">
        <v>40</v>
      </c>
      <c r="B1852">
        <v>1993</v>
      </c>
      <c r="C1852">
        <v>89.436136358909295</v>
      </c>
    </row>
    <row r="1853" spans="1:3" x14ac:dyDescent="0.35">
      <c r="A1853" t="s">
        <v>40</v>
      </c>
      <c r="B1853">
        <v>1994</v>
      </c>
      <c r="C1853">
        <v>40.510575392312937</v>
      </c>
    </row>
    <row r="1854" spans="1:3" x14ac:dyDescent="0.35">
      <c r="A1854" t="s">
        <v>40</v>
      </c>
      <c r="B1854">
        <v>1995</v>
      </c>
      <c r="C1854">
        <v>56.44933672029353</v>
      </c>
    </row>
    <row r="1855" spans="1:3" x14ac:dyDescent="0.35">
      <c r="A1855" t="s">
        <v>40</v>
      </c>
      <c r="B1855">
        <v>1996</v>
      </c>
      <c r="C1855">
        <v>73.65882276253177</v>
      </c>
    </row>
    <row r="1856" spans="1:3" x14ac:dyDescent="0.35">
      <c r="A1856" t="s">
        <v>40</v>
      </c>
      <c r="B1856">
        <v>1997</v>
      </c>
      <c r="C1856">
        <v>77.272576526382124</v>
      </c>
    </row>
    <row r="1857" spans="1:3" x14ac:dyDescent="0.35">
      <c r="A1857" t="s">
        <v>40</v>
      </c>
      <c r="B1857">
        <v>1998</v>
      </c>
      <c r="C1857">
        <v>87.091837061418957</v>
      </c>
    </row>
    <row r="1858" spans="1:3" x14ac:dyDescent="0.35">
      <c r="A1858" t="s">
        <v>40</v>
      </c>
      <c r="B1858">
        <v>1999</v>
      </c>
      <c r="C1858">
        <v>80.852363584095428</v>
      </c>
    </row>
    <row r="1859" spans="1:3" x14ac:dyDescent="0.35">
      <c r="A1859" t="s">
        <v>40</v>
      </c>
      <c r="B1859">
        <v>2000</v>
      </c>
      <c r="C1859">
        <v>61.329857119395626</v>
      </c>
    </row>
    <row r="1860" spans="1:3" x14ac:dyDescent="0.35">
      <c r="A1860" t="s">
        <v>40</v>
      </c>
      <c r="B1860">
        <v>2001</v>
      </c>
      <c r="C1860">
        <v>56.885903131433523</v>
      </c>
    </row>
    <row r="1861" spans="1:3" x14ac:dyDescent="0.35">
      <c r="A1861" t="s">
        <v>40</v>
      </c>
      <c r="B1861">
        <v>2002</v>
      </c>
      <c r="C1861">
        <v>51.118614117572811</v>
      </c>
    </row>
    <row r="1862" spans="1:3" x14ac:dyDescent="0.35">
      <c r="A1862" t="s">
        <v>40</v>
      </c>
      <c r="B1862">
        <v>2003</v>
      </c>
      <c r="C1862">
        <v>45.196268982897962</v>
      </c>
    </row>
    <row r="1863" spans="1:3" x14ac:dyDescent="0.35">
      <c r="A1863" t="s">
        <v>40</v>
      </c>
      <c r="B1863">
        <v>2004</v>
      </c>
      <c r="C1863">
        <v>41.2157610455642</v>
      </c>
    </row>
    <row r="1864" spans="1:3" x14ac:dyDescent="0.35">
      <c r="A1864" t="s">
        <v>40</v>
      </c>
      <c r="B1864">
        <v>2005</v>
      </c>
      <c r="C1864">
        <v>44.996351889398611</v>
      </c>
    </row>
    <row r="1865" spans="1:3" x14ac:dyDescent="0.35">
      <c r="A1865" t="s">
        <v>40</v>
      </c>
      <c r="B1865">
        <v>2006</v>
      </c>
      <c r="C1865">
        <v>54.557648039731014</v>
      </c>
    </row>
    <row r="1866" spans="1:3" x14ac:dyDescent="0.35">
      <c r="A1866" t="s">
        <v>40</v>
      </c>
      <c r="B1866">
        <v>2007</v>
      </c>
      <c r="C1866">
        <v>55.580440804088084</v>
      </c>
    </row>
    <row r="1867" spans="1:3" x14ac:dyDescent="0.35">
      <c r="A1867" t="s">
        <v>40</v>
      </c>
      <c r="B1867">
        <v>2008</v>
      </c>
      <c r="C1867">
        <v>67.66035962395469</v>
      </c>
    </row>
    <row r="1868" spans="1:3" x14ac:dyDescent="0.35">
      <c r="A1868" t="s">
        <v>40</v>
      </c>
      <c r="B1868">
        <v>2009</v>
      </c>
      <c r="C1868">
        <v>75.278486054141069</v>
      </c>
    </row>
    <row r="1869" spans="1:3" x14ac:dyDescent="0.35">
      <c r="A1869" t="s">
        <v>40</v>
      </c>
      <c r="B1869">
        <v>2010</v>
      </c>
      <c r="C1869">
        <v>74.514417286453082</v>
      </c>
    </row>
    <row r="1870" spans="1:3" x14ac:dyDescent="0.35">
      <c r="A1870" t="s">
        <v>40</v>
      </c>
      <c r="B1870">
        <v>2011</v>
      </c>
      <c r="C1870">
        <v>75.383928556555233</v>
      </c>
    </row>
    <row r="1871" spans="1:3" x14ac:dyDescent="0.35">
      <c r="A1871" t="s">
        <v>40</v>
      </c>
      <c r="B1871">
        <v>2012</v>
      </c>
      <c r="C1871">
        <v>79.793910092056748</v>
      </c>
    </row>
    <row r="1872" spans="1:3" x14ac:dyDescent="0.35">
      <c r="A1872" t="s">
        <v>40</v>
      </c>
      <c r="B1872">
        <v>2013</v>
      </c>
      <c r="C1872">
        <v>82.480715580326503</v>
      </c>
    </row>
    <row r="1873" spans="1:3" x14ac:dyDescent="0.35">
      <c r="A1873" t="s">
        <v>40</v>
      </c>
      <c r="B1873">
        <v>2014</v>
      </c>
      <c r="C1873">
        <v>90.861028534903099</v>
      </c>
    </row>
    <row r="1874" spans="1:3" x14ac:dyDescent="0.35">
      <c r="A1874" t="s">
        <v>40</v>
      </c>
      <c r="B1874">
        <v>2015</v>
      </c>
      <c r="C1874">
        <v>103.72370475535071</v>
      </c>
    </row>
    <row r="1875" spans="1:3" x14ac:dyDescent="0.35">
      <c r="A1875" t="s">
        <v>40</v>
      </c>
      <c r="B1875">
        <v>2016</v>
      </c>
      <c r="C1875">
        <v>107.89118554028377</v>
      </c>
    </row>
    <row r="1876" spans="1:3" x14ac:dyDescent="0.35">
      <c r="A1876" t="s">
        <v>40</v>
      </c>
      <c r="B1876">
        <v>2017</v>
      </c>
      <c r="C1876">
        <v>115.55468525230553</v>
      </c>
    </row>
    <row r="1877" spans="1:3" x14ac:dyDescent="0.35">
      <c r="A1877" t="s">
        <v>40</v>
      </c>
      <c r="B1877">
        <v>2018</v>
      </c>
      <c r="C1877">
        <v>119.02599480131944</v>
      </c>
    </row>
    <row r="1878" spans="1:3" x14ac:dyDescent="0.35">
      <c r="A1878" t="s">
        <v>40</v>
      </c>
      <c r="B1878">
        <v>2019</v>
      </c>
      <c r="C1878">
        <v>123.94222150821066</v>
      </c>
    </row>
    <row r="1879" spans="1:3" x14ac:dyDescent="0.35">
      <c r="A1879" t="s">
        <v>40</v>
      </c>
      <c r="B1879">
        <v>2020</v>
      </c>
      <c r="C1879">
        <v>149.93723247867902</v>
      </c>
    </row>
    <row r="1880" spans="1:3" x14ac:dyDescent="0.35">
      <c r="A1880" t="s">
        <v>40</v>
      </c>
      <c r="B1880">
        <v>2021</v>
      </c>
      <c r="C1880">
        <v>167.38149690697145</v>
      </c>
    </row>
    <row r="1881" spans="1:3" x14ac:dyDescent="0.35">
      <c r="A1881" t="s">
        <v>40</v>
      </c>
      <c r="B1881">
        <v>2022</v>
      </c>
      <c r="C1881">
        <v>177.56966535725505</v>
      </c>
    </row>
    <row r="1882" spans="1:3" x14ac:dyDescent="0.35">
      <c r="A1882" t="s">
        <v>40</v>
      </c>
      <c r="B1882">
        <v>2023</v>
      </c>
      <c r="C1882">
        <v>179.43300947733138</v>
      </c>
    </row>
    <row r="1883" spans="1:3" x14ac:dyDescent="0.35">
      <c r="A1883" t="s">
        <v>40</v>
      </c>
      <c r="B1883">
        <v>2024</v>
      </c>
      <c r="C1883">
        <v>175.32435192239714</v>
      </c>
    </row>
    <row r="1884" spans="1:3" x14ac:dyDescent="0.35">
      <c r="A1884" t="s">
        <v>40</v>
      </c>
      <c r="B1884">
        <v>2025</v>
      </c>
      <c r="C1884">
        <v>191.19249902185459</v>
      </c>
    </row>
    <row r="1885" spans="1:3" x14ac:dyDescent="0.35">
      <c r="A1885" t="s">
        <v>41</v>
      </c>
      <c r="B1885">
        <v>1979</v>
      </c>
      <c r="C1885">
        <v>94.390801139515418</v>
      </c>
    </row>
    <row r="1886" spans="1:3" x14ac:dyDescent="0.35">
      <c r="A1886" t="s">
        <v>41</v>
      </c>
      <c r="B1886">
        <v>1980</v>
      </c>
      <c r="C1886">
        <v>96.502271866717152</v>
      </c>
    </row>
    <row r="1887" spans="1:3" x14ac:dyDescent="0.35">
      <c r="A1887" t="s">
        <v>41</v>
      </c>
      <c r="B1887">
        <v>1981</v>
      </c>
      <c r="C1887">
        <v>86.843238349691418</v>
      </c>
    </row>
    <row r="1888" spans="1:3" x14ac:dyDescent="0.35">
      <c r="A1888" t="s">
        <v>41</v>
      </c>
      <c r="B1888">
        <v>1982</v>
      </c>
      <c r="C1888">
        <v>73.07231152200508</v>
      </c>
    </row>
    <row r="1889" spans="1:3" x14ac:dyDescent="0.35">
      <c r="A1889" t="s">
        <v>41</v>
      </c>
      <c r="B1889">
        <v>1983</v>
      </c>
      <c r="C1889">
        <v>70.617688274472144</v>
      </c>
    </row>
    <row r="1890" spans="1:3" x14ac:dyDescent="0.35">
      <c r="A1890" t="s">
        <v>41</v>
      </c>
      <c r="B1890">
        <v>1984</v>
      </c>
      <c r="C1890">
        <v>65.13684412882732</v>
      </c>
    </row>
    <row r="1891" spans="1:3" x14ac:dyDescent="0.35">
      <c r="A1891" t="s">
        <v>41</v>
      </c>
      <c r="B1891">
        <v>1985</v>
      </c>
      <c r="C1891">
        <v>64.966400527085469</v>
      </c>
    </row>
    <row r="1892" spans="1:3" x14ac:dyDescent="0.35">
      <c r="A1892" t="s">
        <v>41</v>
      </c>
      <c r="B1892">
        <v>1986</v>
      </c>
      <c r="C1892">
        <v>85.476428361044853</v>
      </c>
    </row>
    <row r="1893" spans="1:3" x14ac:dyDescent="0.35">
      <c r="A1893" t="s">
        <v>41</v>
      </c>
      <c r="B1893">
        <v>1987</v>
      </c>
      <c r="C1893">
        <v>99.871230497409641</v>
      </c>
    </row>
    <row r="1894" spans="1:3" x14ac:dyDescent="0.35">
      <c r="A1894" t="s">
        <v>41</v>
      </c>
      <c r="B1894">
        <v>1988</v>
      </c>
      <c r="C1894">
        <v>105.28860358303564</v>
      </c>
    </row>
    <row r="1895" spans="1:3" x14ac:dyDescent="0.35">
      <c r="A1895" t="s">
        <v>41</v>
      </c>
      <c r="B1895">
        <v>1989</v>
      </c>
      <c r="C1895">
        <v>99.602517805196101</v>
      </c>
    </row>
    <row r="1896" spans="1:3" x14ac:dyDescent="0.35">
      <c r="A1896" t="s">
        <v>41</v>
      </c>
      <c r="B1896">
        <v>1990</v>
      </c>
      <c r="C1896">
        <v>118.21570896002058</v>
      </c>
    </row>
    <row r="1897" spans="1:3" x14ac:dyDescent="0.35">
      <c r="A1897" t="s">
        <v>41</v>
      </c>
      <c r="B1897">
        <v>1991</v>
      </c>
      <c r="C1897">
        <v>110.01499431066935</v>
      </c>
    </row>
    <row r="1898" spans="1:3" x14ac:dyDescent="0.35">
      <c r="A1898" t="s">
        <v>41</v>
      </c>
      <c r="B1898">
        <v>1992</v>
      </c>
      <c r="C1898">
        <v>109.77286808819308</v>
      </c>
    </row>
    <row r="1899" spans="1:3" x14ac:dyDescent="0.35">
      <c r="A1899" t="s">
        <v>41</v>
      </c>
      <c r="B1899">
        <v>1993</v>
      </c>
      <c r="C1899">
        <v>119.93798624820332</v>
      </c>
    </row>
    <row r="1900" spans="1:3" x14ac:dyDescent="0.35">
      <c r="A1900" t="s">
        <v>41</v>
      </c>
      <c r="B1900">
        <v>1994</v>
      </c>
      <c r="C1900">
        <v>66.146738592051577</v>
      </c>
    </row>
    <row r="1901" spans="1:3" x14ac:dyDescent="0.35">
      <c r="A1901" t="s">
        <v>41</v>
      </c>
      <c r="B1901">
        <v>1995</v>
      </c>
      <c r="C1901">
        <v>80.91588066064574</v>
      </c>
    </row>
    <row r="1902" spans="1:3" x14ac:dyDescent="0.35">
      <c r="A1902" t="s">
        <v>41</v>
      </c>
      <c r="B1902">
        <v>1996</v>
      </c>
      <c r="C1902">
        <v>79.774881146002755</v>
      </c>
    </row>
    <row r="1903" spans="1:3" x14ac:dyDescent="0.35">
      <c r="A1903" t="s">
        <v>41</v>
      </c>
      <c r="B1903">
        <v>1997</v>
      </c>
      <c r="C1903">
        <v>70.800402282800704</v>
      </c>
    </row>
    <row r="1904" spans="1:3" x14ac:dyDescent="0.35">
      <c r="A1904" t="s">
        <v>41</v>
      </c>
      <c r="B1904">
        <v>1998</v>
      </c>
      <c r="C1904">
        <v>75.090854849208071</v>
      </c>
    </row>
    <row r="1905" spans="1:3" x14ac:dyDescent="0.35">
      <c r="A1905" t="s">
        <v>41</v>
      </c>
      <c r="B1905">
        <v>1999</v>
      </c>
      <c r="C1905">
        <v>78.28500614748441</v>
      </c>
    </row>
    <row r="1906" spans="1:3" x14ac:dyDescent="0.35">
      <c r="A1906" t="s">
        <v>41</v>
      </c>
      <c r="B1906">
        <v>2000</v>
      </c>
      <c r="C1906">
        <v>62.361652639976626</v>
      </c>
    </row>
    <row r="1907" spans="1:3" x14ac:dyDescent="0.35">
      <c r="A1907" t="s">
        <v>41</v>
      </c>
      <c r="B1907">
        <v>2001</v>
      </c>
      <c r="C1907">
        <v>68.891286821028615</v>
      </c>
    </row>
    <row r="1908" spans="1:3" x14ac:dyDescent="0.35">
      <c r="A1908" t="s">
        <v>41</v>
      </c>
      <c r="B1908">
        <v>2002</v>
      </c>
      <c r="C1908">
        <v>74.36139503119135</v>
      </c>
    </row>
    <row r="1909" spans="1:3" x14ac:dyDescent="0.35">
      <c r="A1909" t="s">
        <v>41</v>
      </c>
      <c r="B1909">
        <v>2003</v>
      </c>
      <c r="C1909">
        <v>96.85650378527184</v>
      </c>
    </row>
    <row r="1910" spans="1:3" x14ac:dyDescent="0.35">
      <c r="A1910" t="s">
        <v>41</v>
      </c>
      <c r="B1910">
        <v>2004</v>
      </c>
      <c r="C1910">
        <v>107.55368787680892</v>
      </c>
    </row>
    <row r="1911" spans="1:3" x14ac:dyDescent="0.35">
      <c r="A1911" t="s">
        <v>41</v>
      </c>
      <c r="B1911">
        <v>2005</v>
      </c>
      <c r="C1911">
        <v>124.40375529889967</v>
      </c>
    </row>
    <row r="1912" spans="1:3" x14ac:dyDescent="0.35">
      <c r="A1912" t="s">
        <v>41</v>
      </c>
      <c r="B1912">
        <v>2006</v>
      </c>
      <c r="C1912">
        <v>148.55514544167988</v>
      </c>
    </row>
    <row r="1913" spans="1:3" x14ac:dyDescent="0.35">
      <c r="A1913" t="s">
        <v>41</v>
      </c>
      <c r="B1913">
        <v>2007</v>
      </c>
      <c r="C1913">
        <v>192.80797551260571</v>
      </c>
    </row>
    <row r="1914" spans="1:3" x14ac:dyDescent="0.35">
      <c r="A1914" t="s">
        <v>41</v>
      </c>
      <c r="B1914">
        <v>2008</v>
      </c>
      <c r="C1914">
        <v>216.87028952334163</v>
      </c>
    </row>
    <row r="1915" spans="1:3" x14ac:dyDescent="0.35">
      <c r="A1915" t="s">
        <v>41</v>
      </c>
      <c r="B1915">
        <v>2009</v>
      </c>
      <c r="C1915">
        <v>214.82424298899164</v>
      </c>
    </row>
    <row r="1916" spans="1:3" x14ac:dyDescent="0.35">
      <c r="A1916" t="s">
        <v>41</v>
      </c>
      <c r="B1916">
        <v>2010</v>
      </c>
      <c r="C1916">
        <v>195.7328929063938</v>
      </c>
    </row>
    <row r="1917" spans="1:3" x14ac:dyDescent="0.35">
      <c r="A1917" t="s">
        <v>41</v>
      </c>
      <c r="B1917">
        <v>2011</v>
      </c>
      <c r="C1917">
        <v>230.19035065039654</v>
      </c>
    </row>
    <row r="1918" spans="1:3" x14ac:dyDescent="0.35">
      <c r="A1918" t="s">
        <v>41</v>
      </c>
      <c r="B1918">
        <v>2012</v>
      </c>
      <c r="C1918">
        <v>196.66148901037556</v>
      </c>
    </row>
    <row r="1919" spans="1:3" x14ac:dyDescent="0.35">
      <c r="A1919" t="s">
        <v>41</v>
      </c>
      <c r="B1919">
        <v>2013</v>
      </c>
      <c r="C1919">
        <v>236.737915958222</v>
      </c>
    </row>
    <row r="1920" spans="1:3" x14ac:dyDescent="0.35">
      <c r="A1920" t="s">
        <v>41</v>
      </c>
      <c r="B1920">
        <v>2014</v>
      </c>
      <c r="C1920">
        <v>239.89363451230562</v>
      </c>
    </row>
    <row r="1921" spans="1:3" x14ac:dyDescent="0.35">
      <c r="A1921" t="s">
        <v>41</v>
      </c>
      <c r="B1921">
        <v>2015</v>
      </c>
      <c r="C1921">
        <v>214.82796517034404</v>
      </c>
    </row>
    <row r="1922" spans="1:3" x14ac:dyDescent="0.35">
      <c r="A1922" t="s">
        <v>41</v>
      </c>
      <c r="B1922">
        <v>2016</v>
      </c>
      <c r="C1922">
        <v>304.7642642451122</v>
      </c>
    </row>
    <row r="1923" spans="1:3" x14ac:dyDescent="0.35">
      <c r="A1923" t="s">
        <v>41</v>
      </c>
      <c r="B1923">
        <v>2017</v>
      </c>
      <c r="C1923">
        <v>305.44126162335237</v>
      </c>
    </row>
    <row r="1924" spans="1:3" x14ac:dyDescent="0.35">
      <c r="A1924" t="s">
        <v>41</v>
      </c>
      <c r="B1924">
        <v>2018</v>
      </c>
      <c r="C1924">
        <v>385.13236310243565</v>
      </c>
    </row>
    <row r="1925" spans="1:3" x14ac:dyDescent="0.35">
      <c r="A1925" t="s">
        <v>41</v>
      </c>
      <c r="B1925">
        <v>2019</v>
      </c>
      <c r="C1925">
        <v>356.82079602974954</v>
      </c>
    </row>
    <row r="1926" spans="1:3" x14ac:dyDescent="0.35">
      <c r="A1926" t="s">
        <v>41</v>
      </c>
      <c r="B1926">
        <v>2020</v>
      </c>
      <c r="C1926">
        <v>345.63747893026567</v>
      </c>
    </row>
    <row r="1927" spans="1:3" x14ac:dyDescent="0.35">
      <c r="A1927" t="s">
        <v>41</v>
      </c>
      <c r="B1927">
        <v>2021</v>
      </c>
      <c r="C1927">
        <v>483.22491309553004</v>
      </c>
    </row>
    <row r="1928" spans="1:3" x14ac:dyDescent="0.35">
      <c r="A1928" t="s">
        <v>41</v>
      </c>
      <c r="B1928">
        <v>2022</v>
      </c>
      <c r="C1928">
        <v>421.01374384681901</v>
      </c>
    </row>
    <row r="1929" spans="1:3" x14ac:dyDescent="0.35">
      <c r="A1929" t="s">
        <v>41</v>
      </c>
      <c r="B1929">
        <v>2023</v>
      </c>
      <c r="C1929">
        <v>448.99370587719602</v>
      </c>
    </row>
    <row r="1930" spans="1:3" x14ac:dyDescent="0.35">
      <c r="A1930" t="s">
        <v>41</v>
      </c>
      <c r="B1930">
        <v>2024</v>
      </c>
      <c r="C1930">
        <v>638.82401451426699</v>
      </c>
    </row>
    <row r="1931" spans="1:3" x14ac:dyDescent="0.35">
      <c r="A1931" t="s">
        <v>41</v>
      </c>
      <c r="B1931">
        <v>2025</v>
      </c>
      <c r="C1931">
        <v>566.87360275150479</v>
      </c>
    </row>
    <row r="1932" spans="1:3" x14ac:dyDescent="0.35">
      <c r="A1932" t="s">
        <v>42</v>
      </c>
      <c r="B1932">
        <v>1985</v>
      </c>
      <c r="C1932">
        <v>7.2466510520259089</v>
      </c>
    </row>
    <row r="1933" spans="1:3" x14ac:dyDescent="0.35">
      <c r="A1933" t="s">
        <v>42</v>
      </c>
      <c r="B1933">
        <v>1986</v>
      </c>
      <c r="C1933">
        <v>9.7623522897815871</v>
      </c>
    </row>
    <row r="1934" spans="1:3" x14ac:dyDescent="0.35">
      <c r="A1934" t="s">
        <v>42</v>
      </c>
      <c r="B1934">
        <v>1987</v>
      </c>
      <c r="C1934">
        <v>11.321408354627938</v>
      </c>
    </row>
    <row r="1935" spans="1:3" x14ac:dyDescent="0.35">
      <c r="A1935" t="s">
        <v>42</v>
      </c>
      <c r="B1935">
        <v>1988</v>
      </c>
      <c r="C1935">
        <v>12.148072747266221</v>
      </c>
    </row>
    <row r="1936" spans="1:3" x14ac:dyDescent="0.35">
      <c r="A1936" t="s">
        <v>42</v>
      </c>
      <c r="B1936">
        <v>1989</v>
      </c>
      <c r="C1936">
        <v>13.036424052202378</v>
      </c>
    </row>
    <row r="1937" spans="1:3" x14ac:dyDescent="0.35">
      <c r="A1937" t="s">
        <v>42</v>
      </c>
      <c r="B1937">
        <v>1990</v>
      </c>
      <c r="C1937">
        <v>14.840075699376042</v>
      </c>
    </row>
    <row r="1938" spans="1:3" x14ac:dyDescent="0.35">
      <c r="A1938" t="s">
        <v>42</v>
      </c>
      <c r="B1938">
        <v>1991</v>
      </c>
      <c r="C1938">
        <v>16.561706536391323</v>
      </c>
    </row>
    <row r="1939" spans="1:3" x14ac:dyDescent="0.35">
      <c r="A1939" t="s">
        <v>42</v>
      </c>
      <c r="B1939">
        <v>1992</v>
      </c>
      <c r="C1939">
        <v>20.499884810171068</v>
      </c>
    </row>
    <row r="1940" spans="1:3" x14ac:dyDescent="0.35">
      <c r="A1940" t="s">
        <v>42</v>
      </c>
      <c r="B1940">
        <v>1993</v>
      </c>
      <c r="C1940">
        <v>12.949843000040525</v>
      </c>
    </row>
    <row r="1941" spans="1:3" x14ac:dyDescent="0.35">
      <c r="A1941" t="s">
        <v>42</v>
      </c>
      <c r="B1941">
        <v>1994</v>
      </c>
      <c r="C1941">
        <v>11.887196243566871</v>
      </c>
    </row>
    <row r="1942" spans="1:3" x14ac:dyDescent="0.35">
      <c r="A1942" t="s">
        <v>42</v>
      </c>
      <c r="B1942">
        <v>1995</v>
      </c>
      <c r="C1942">
        <v>11.591841191775673</v>
      </c>
    </row>
    <row r="1943" spans="1:3" x14ac:dyDescent="0.35">
      <c r="A1943" t="s">
        <v>42</v>
      </c>
      <c r="B1943">
        <v>1996</v>
      </c>
      <c r="C1943">
        <v>10.543301985118653</v>
      </c>
    </row>
    <row r="1944" spans="1:3" x14ac:dyDescent="0.35">
      <c r="A1944" t="s">
        <v>42</v>
      </c>
      <c r="B1944">
        <v>1997</v>
      </c>
      <c r="C1944">
        <v>11.398353473899498</v>
      </c>
    </row>
    <row r="1945" spans="1:3" x14ac:dyDescent="0.35">
      <c r="A1945" t="s">
        <v>42</v>
      </c>
      <c r="B1945">
        <v>1998</v>
      </c>
      <c r="C1945">
        <v>10.54237874345092</v>
      </c>
    </row>
    <row r="1946" spans="1:3" x14ac:dyDescent="0.35">
      <c r="A1946" t="s">
        <v>42</v>
      </c>
      <c r="B1946">
        <v>1999</v>
      </c>
      <c r="C1946">
        <v>11.090147456846692</v>
      </c>
    </row>
    <row r="1947" spans="1:3" x14ac:dyDescent="0.35">
      <c r="A1947" t="s">
        <v>42</v>
      </c>
      <c r="B1947">
        <v>2000</v>
      </c>
      <c r="C1947">
        <v>10.325841556086822</v>
      </c>
    </row>
    <row r="1948" spans="1:3" x14ac:dyDescent="0.35">
      <c r="A1948" t="s">
        <v>42</v>
      </c>
      <c r="B1948">
        <v>2001</v>
      </c>
      <c r="C1948">
        <v>11.065396053633437</v>
      </c>
    </row>
    <row r="1949" spans="1:3" x14ac:dyDescent="0.35">
      <c r="A1949" t="s">
        <v>42</v>
      </c>
      <c r="B1949">
        <v>2002</v>
      </c>
      <c r="C1949">
        <v>11.699935949255751</v>
      </c>
    </row>
    <row r="1950" spans="1:3" x14ac:dyDescent="0.35">
      <c r="A1950" t="s">
        <v>42</v>
      </c>
      <c r="B1950">
        <v>2003</v>
      </c>
      <c r="C1950">
        <v>12.239108859559465</v>
      </c>
    </row>
    <row r="1951" spans="1:3" x14ac:dyDescent="0.35">
      <c r="A1951" t="s">
        <v>42</v>
      </c>
      <c r="B1951">
        <v>2004</v>
      </c>
      <c r="C1951">
        <v>15.927272727272726</v>
      </c>
    </row>
    <row r="1952" spans="1:3" x14ac:dyDescent="0.35">
      <c r="A1952" t="s">
        <v>42</v>
      </c>
      <c r="B1952">
        <v>2005</v>
      </c>
      <c r="C1952">
        <v>14.727272727272727</v>
      </c>
    </row>
    <row r="1953" spans="1:3" x14ac:dyDescent="0.35">
      <c r="A1953" t="s">
        <v>42</v>
      </c>
      <c r="B1953">
        <v>2006</v>
      </c>
      <c r="C1953">
        <v>14.366386518083443</v>
      </c>
    </row>
    <row r="1954" spans="1:3" x14ac:dyDescent="0.35">
      <c r="A1954" t="s">
        <v>42</v>
      </c>
      <c r="B1954">
        <v>2007</v>
      </c>
      <c r="C1954">
        <v>15.176703387225304</v>
      </c>
    </row>
    <row r="1955" spans="1:3" x14ac:dyDescent="0.35">
      <c r="A1955" t="s">
        <v>42</v>
      </c>
      <c r="B1955">
        <v>2008</v>
      </c>
      <c r="C1955">
        <v>11.124810198324246</v>
      </c>
    </row>
    <row r="1956" spans="1:3" x14ac:dyDescent="0.35">
      <c r="A1956" t="s">
        <v>42</v>
      </c>
      <c r="B1956">
        <v>2009</v>
      </c>
      <c r="C1956">
        <v>8.6512024335226574</v>
      </c>
    </row>
    <row r="1957" spans="1:3" x14ac:dyDescent="0.35">
      <c r="A1957" t="s">
        <v>42</v>
      </c>
      <c r="B1957">
        <v>2010</v>
      </c>
      <c r="C1957">
        <v>7.1575597872023069</v>
      </c>
    </row>
    <row r="1958" spans="1:3" x14ac:dyDescent="0.35">
      <c r="A1958" t="s">
        <v>42</v>
      </c>
      <c r="B1958">
        <v>2011</v>
      </c>
      <c r="C1958">
        <v>8.7127049511348034</v>
      </c>
    </row>
    <row r="1959" spans="1:3" x14ac:dyDescent="0.35">
      <c r="A1959" t="s">
        <v>42</v>
      </c>
      <c r="B1959">
        <v>2012</v>
      </c>
      <c r="C1959">
        <v>9.9241097489784007</v>
      </c>
    </row>
    <row r="1960" spans="1:3" x14ac:dyDescent="0.35">
      <c r="A1960" t="s">
        <v>42</v>
      </c>
      <c r="B1960">
        <v>2013</v>
      </c>
      <c r="C1960">
        <v>13.76645132398431</v>
      </c>
    </row>
    <row r="1961" spans="1:3" x14ac:dyDescent="0.35">
      <c r="A1961" t="s">
        <v>42</v>
      </c>
      <c r="B1961">
        <v>2014</v>
      </c>
      <c r="C1961">
        <v>30.90915271788738</v>
      </c>
    </row>
    <row r="1962" spans="1:3" x14ac:dyDescent="0.35">
      <c r="A1962" t="s">
        <v>42</v>
      </c>
      <c r="B1962">
        <v>2015</v>
      </c>
      <c r="C1962">
        <v>18.10134877581179</v>
      </c>
    </row>
    <row r="1963" spans="1:3" x14ac:dyDescent="0.35">
      <c r="A1963" t="s">
        <v>42</v>
      </c>
      <c r="B1963">
        <v>2016</v>
      </c>
      <c r="C1963">
        <v>21.923375799446269</v>
      </c>
    </row>
    <row r="1964" spans="1:3" x14ac:dyDescent="0.35">
      <c r="A1964" t="s">
        <v>42</v>
      </c>
      <c r="B1964">
        <v>2017</v>
      </c>
      <c r="C1964">
        <v>22.23794849124506</v>
      </c>
    </row>
    <row r="1965" spans="1:3" x14ac:dyDescent="0.35">
      <c r="A1965" t="s">
        <v>42</v>
      </c>
      <c r="B1965">
        <v>2018</v>
      </c>
      <c r="C1965">
        <v>21.507978630999052</v>
      </c>
    </row>
    <row r="1966" spans="1:3" x14ac:dyDescent="0.35">
      <c r="A1966" t="s">
        <v>42</v>
      </c>
      <c r="B1966">
        <v>2019</v>
      </c>
      <c r="C1966">
        <v>21.68421427680687</v>
      </c>
    </row>
    <row r="1967" spans="1:3" x14ac:dyDescent="0.35">
      <c r="A1967" t="s">
        <v>42</v>
      </c>
      <c r="B1967">
        <v>2020</v>
      </c>
      <c r="C1967">
        <v>18.901180455856068</v>
      </c>
    </row>
    <row r="1968" spans="1:3" x14ac:dyDescent="0.35">
      <c r="A1968" t="s">
        <v>42</v>
      </c>
      <c r="B1968">
        <v>2021</v>
      </c>
      <c r="C1968">
        <v>36.58793618244782</v>
      </c>
    </row>
    <row r="1969" spans="1:3" x14ac:dyDescent="0.35">
      <c r="A1969" t="s">
        <v>42</v>
      </c>
      <c r="B1969">
        <v>2022</v>
      </c>
      <c r="C1969">
        <v>23.445303538943609</v>
      </c>
    </row>
    <row r="1970" spans="1:3" x14ac:dyDescent="0.35">
      <c r="A1970" t="s">
        <v>42</v>
      </c>
      <c r="B1970">
        <v>2023</v>
      </c>
      <c r="C1970">
        <v>29.281406660639259</v>
      </c>
    </row>
    <row r="1971" spans="1:3" x14ac:dyDescent="0.35">
      <c r="A1971" t="s">
        <v>42</v>
      </c>
      <c r="B1971">
        <v>2024</v>
      </c>
      <c r="C1971">
        <v>27.6282502823607</v>
      </c>
    </row>
    <row r="1972" spans="1:3" x14ac:dyDescent="0.35">
      <c r="A1972" t="s">
        <v>42</v>
      </c>
      <c r="B1972">
        <v>2025</v>
      </c>
      <c r="C1972">
        <v>28.380338884222656</v>
      </c>
    </row>
    <row r="1973" spans="1:3" x14ac:dyDescent="0.35">
      <c r="A1973" t="s">
        <v>43</v>
      </c>
      <c r="B1973">
        <v>1961</v>
      </c>
      <c r="C1973">
        <v>1.930599227760309</v>
      </c>
    </row>
    <row r="1974" spans="1:3" x14ac:dyDescent="0.35">
      <c r="A1974" t="s">
        <v>43</v>
      </c>
      <c r="B1974">
        <v>1962</v>
      </c>
      <c r="C1974">
        <v>1.9837992064803176</v>
      </c>
    </row>
    <row r="1975" spans="1:3" x14ac:dyDescent="0.35">
      <c r="A1975" t="s">
        <v>43</v>
      </c>
      <c r="B1975">
        <v>1963</v>
      </c>
      <c r="C1975">
        <v>2.1559991376003449</v>
      </c>
    </row>
    <row r="1976" spans="1:3" x14ac:dyDescent="0.35">
      <c r="A1976" t="s">
        <v>43</v>
      </c>
      <c r="B1976">
        <v>1964</v>
      </c>
      <c r="C1976">
        <v>2.3533990586403766</v>
      </c>
    </row>
    <row r="1977" spans="1:3" x14ac:dyDescent="0.35">
      <c r="A1977" t="s">
        <v>43</v>
      </c>
      <c r="B1977">
        <v>1965</v>
      </c>
      <c r="C1977">
        <v>2.5059989976004013</v>
      </c>
    </row>
    <row r="1978" spans="1:3" x14ac:dyDescent="0.35">
      <c r="A1978" t="s">
        <v>43</v>
      </c>
      <c r="B1978">
        <v>1966</v>
      </c>
      <c r="C1978">
        <v>2.5395989841604063</v>
      </c>
    </row>
    <row r="1979" spans="1:3" x14ac:dyDescent="0.35">
      <c r="A1979" t="s">
        <v>43</v>
      </c>
      <c r="B1979">
        <v>1967</v>
      </c>
      <c r="C1979">
        <v>2.8831535734948708</v>
      </c>
    </row>
    <row r="1980" spans="1:3" x14ac:dyDescent="0.35">
      <c r="A1980" t="s">
        <v>43</v>
      </c>
      <c r="B1980">
        <v>1968</v>
      </c>
      <c r="C1980">
        <v>2.6580010632004254</v>
      </c>
    </row>
    <row r="1981" spans="1:3" x14ac:dyDescent="0.35">
      <c r="A1981" t="s">
        <v>43</v>
      </c>
      <c r="B1981">
        <v>1969</v>
      </c>
      <c r="C1981">
        <v>3.2976013190405276</v>
      </c>
    </row>
    <row r="1982" spans="1:3" x14ac:dyDescent="0.35">
      <c r="A1982" t="s">
        <v>43</v>
      </c>
      <c r="B1982">
        <v>1970</v>
      </c>
      <c r="C1982">
        <v>3.9864015945606375</v>
      </c>
    </row>
    <row r="1983" spans="1:3" x14ac:dyDescent="0.35">
      <c r="A1983" t="s">
        <v>43</v>
      </c>
      <c r="B1983">
        <v>1971</v>
      </c>
      <c r="C1983">
        <v>3.7706374098260431</v>
      </c>
    </row>
    <row r="1984" spans="1:3" x14ac:dyDescent="0.35">
      <c r="A1984" t="s">
        <v>43</v>
      </c>
      <c r="B1984">
        <v>1972</v>
      </c>
      <c r="C1984">
        <v>4.2346106680719604</v>
      </c>
    </row>
    <row r="1985" spans="1:3" x14ac:dyDescent="0.35">
      <c r="A1985" t="s">
        <v>43</v>
      </c>
      <c r="B1985">
        <v>1973</v>
      </c>
      <c r="C1985">
        <v>5.0224048254285574</v>
      </c>
    </row>
    <row r="1986" spans="1:3" x14ac:dyDescent="0.35">
      <c r="A1986" t="s">
        <v>43</v>
      </c>
      <c r="B1986">
        <v>1974</v>
      </c>
      <c r="C1986">
        <v>6.7799700979939468</v>
      </c>
    </row>
    <row r="1987" spans="1:3" x14ac:dyDescent="0.35">
      <c r="A1987" t="s">
        <v>43</v>
      </c>
      <c r="B1987">
        <v>1975</v>
      </c>
      <c r="C1987">
        <v>6.5263898444949353</v>
      </c>
    </row>
    <row r="1988" spans="1:3" x14ac:dyDescent="0.35">
      <c r="A1988" t="s">
        <v>43</v>
      </c>
      <c r="B1988">
        <v>1976</v>
      </c>
      <c r="C1988">
        <v>6.0206318967686281</v>
      </c>
    </row>
    <row r="1989" spans="1:3" x14ac:dyDescent="0.35">
      <c r="A1989" t="s">
        <v>43</v>
      </c>
      <c r="B1989">
        <v>1977</v>
      </c>
      <c r="C1989">
        <v>7.064980375054513</v>
      </c>
    </row>
    <row r="1990" spans="1:3" x14ac:dyDescent="0.35">
      <c r="A1990" t="s">
        <v>43</v>
      </c>
      <c r="B1990">
        <v>1978</v>
      </c>
      <c r="C1990">
        <v>8.1181234718826421</v>
      </c>
    </row>
    <row r="1991" spans="1:3" x14ac:dyDescent="0.35">
      <c r="A1991" t="s">
        <v>43</v>
      </c>
      <c r="B1991">
        <v>1979</v>
      </c>
      <c r="C1991">
        <v>10.785547366528851</v>
      </c>
    </row>
    <row r="1992" spans="1:3" x14ac:dyDescent="0.35">
      <c r="A1992" t="s">
        <v>43</v>
      </c>
      <c r="B1992">
        <v>1980</v>
      </c>
      <c r="C1992">
        <v>15.907791960373403</v>
      </c>
    </row>
    <row r="1993" spans="1:3" x14ac:dyDescent="0.35">
      <c r="A1993" t="s">
        <v>43</v>
      </c>
      <c r="B1993">
        <v>1981</v>
      </c>
      <c r="C1993">
        <v>15.788111465792428</v>
      </c>
    </row>
    <row r="1994" spans="1:3" x14ac:dyDescent="0.35">
      <c r="A1994" t="s">
        <v>43</v>
      </c>
      <c r="B1994">
        <v>1982</v>
      </c>
      <c r="C1994">
        <v>14.128284826222098</v>
      </c>
    </row>
    <row r="1995" spans="1:3" x14ac:dyDescent="0.35">
      <c r="A1995" t="s">
        <v>43</v>
      </c>
      <c r="B1995">
        <v>1983</v>
      </c>
      <c r="C1995">
        <v>10.2369346480457</v>
      </c>
    </row>
    <row r="1996" spans="1:3" x14ac:dyDescent="0.35">
      <c r="A1996" t="s">
        <v>43</v>
      </c>
      <c r="B1996">
        <v>1984</v>
      </c>
      <c r="C1996">
        <v>9.9205163449471101</v>
      </c>
    </row>
    <row r="1997" spans="1:3" x14ac:dyDescent="0.35">
      <c r="A1997" t="s">
        <v>43</v>
      </c>
      <c r="B1997">
        <v>1985</v>
      </c>
      <c r="C1997">
        <v>6.2817029696750799</v>
      </c>
    </row>
    <row r="1998" spans="1:3" x14ac:dyDescent="0.35">
      <c r="A1998" t="s">
        <v>43</v>
      </c>
      <c r="B1998">
        <v>1986</v>
      </c>
      <c r="C1998">
        <v>7.2271487251508519</v>
      </c>
    </row>
    <row r="1999" spans="1:3" x14ac:dyDescent="0.35">
      <c r="A1999" t="s">
        <v>43</v>
      </c>
      <c r="B1999">
        <v>1987</v>
      </c>
      <c r="C1999">
        <v>4.5854446647572891</v>
      </c>
    </row>
    <row r="2000" spans="1:3" x14ac:dyDescent="0.35">
      <c r="A2000" t="s">
        <v>43</v>
      </c>
      <c r="B2000">
        <v>1988</v>
      </c>
      <c r="C2000">
        <v>9.011475021606012</v>
      </c>
    </row>
    <row r="2001" spans="1:3" x14ac:dyDescent="0.35">
      <c r="A2001" t="s">
        <v>43</v>
      </c>
      <c r="B2001">
        <v>1989</v>
      </c>
      <c r="C2001">
        <v>14.394912125832597</v>
      </c>
    </row>
    <row r="2002" spans="1:3" x14ac:dyDescent="0.35">
      <c r="A2002" t="s">
        <v>43</v>
      </c>
      <c r="B2002">
        <v>1990</v>
      </c>
      <c r="C2002">
        <v>12.387253542516806</v>
      </c>
    </row>
    <row r="2003" spans="1:3" x14ac:dyDescent="0.35">
      <c r="A2003" t="s">
        <v>43</v>
      </c>
      <c r="B2003">
        <v>1991</v>
      </c>
      <c r="C2003">
        <v>23.179749715585896</v>
      </c>
    </row>
    <row r="2004" spans="1:3" x14ac:dyDescent="0.35">
      <c r="A2004" t="s">
        <v>43</v>
      </c>
      <c r="B2004">
        <v>1992</v>
      </c>
      <c r="C2004">
        <v>26.661754518042137</v>
      </c>
    </row>
    <row r="2005" spans="1:3" x14ac:dyDescent="0.35">
      <c r="A2005" t="s">
        <v>43</v>
      </c>
      <c r="B2005">
        <v>1993</v>
      </c>
      <c r="C2005">
        <v>23.339131109031669</v>
      </c>
    </row>
    <row r="2006" spans="1:3" x14ac:dyDescent="0.35">
      <c r="A2006" t="s">
        <v>43</v>
      </c>
      <c r="B2006">
        <v>1994</v>
      </c>
      <c r="C2006">
        <v>26.495551692402085</v>
      </c>
    </row>
    <row r="2007" spans="1:3" x14ac:dyDescent="0.35">
      <c r="A2007" t="s">
        <v>43</v>
      </c>
      <c r="B2007">
        <v>1995</v>
      </c>
      <c r="C2007">
        <v>25.023304591004429</v>
      </c>
    </row>
    <row r="2008" spans="1:3" x14ac:dyDescent="0.35">
      <c r="A2008" t="s">
        <v>43</v>
      </c>
      <c r="B2008">
        <v>1996</v>
      </c>
      <c r="C2008">
        <v>18.592815281754085</v>
      </c>
    </row>
    <row r="2009" spans="1:3" x14ac:dyDescent="0.35">
      <c r="A2009" t="s">
        <v>43</v>
      </c>
      <c r="B2009">
        <v>1997</v>
      </c>
      <c r="C2009">
        <v>9.4907497030001586</v>
      </c>
    </row>
    <row r="2010" spans="1:3" x14ac:dyDescent="0.35">
      <c r="A2010" t="s">
        <v>43</v>
      </c>
      <c r="B2010">
        <v>1998</v>
      </c>
      <c r="C2010">
        <v>10.054233125695502</v>
      </c>
    </row>
    <row r="2011" spans="1:3" x14ac:dyDescent="0.35">
      <c r="A2011" t="s">
        <v>43</v>
      </c>
      <c r="B2011">
        <v>1999</v>
      </c>
      <c r="C2011">
        <v>17.000426784318726</v>
      </c>
    </row>
    <row r="2012" spans="1:3" x14ac:dyDescent="0.35">
      <c r="A2012" t="s">
        <v>43</v>
      </c>
      <c r="B2012">
        <v>2000</v>
      </c>
      <c r="C2012">
        <v>23.310804351566834</v>
      </c>
    </row>
    <row r="2013" spans="1:3" x14ac:dyDescent="0.35">
      <c r="A2013" t="s">
        <v>43</v>
      </c>
      <c r="B2013">
        <v>2001</v>
      </c>
      <c r="C2013">
        <v>29.911134607154544</v>
      </c>
    </row>
    <row r="2014" spans="1:3" x14ac:dyDescent="0.35">
      <c r="A2014" t="s">
        <v>43</v>
      </c>
      <c r="B2014">
        <v>2002</v>
      </c>
      <c r="C2014">
        <v>27.133961877629186</v>
      </c>
    </row>
    <row r="2015" spans="1:3" x14ac:dyDescent="0.35">
      <c r="A2015" t="s">
        <v>43</v>
      </c>
      <c r="B2015">
        <v>2003</v>
      </c>
      <c r="C2015">
        <v>28.467933592851605</v>
      </c>
    </row>
    <row r="2016" spans="1:3" x14ac:dyDescent="0.35">
      <c r="A2016" t="s">
        <v>43</v>
      </c>
      <c r="B2016">
        <v>2004</v>
      </c>
      <c r="C2016">
        <v>22.961537037722575</v>
      </c>
    </row>
    <row r="2017" spans="1:3" x14ac:dyDescent="0.35">
      <c r="A2017" t="s">
        <v>43</v>
      </c>
      <c r="B2017">
        <v>2005</v>
      </c>
      <c r="C2017">
        <v>23.552130233008835</v>
      </c>
    </row>
    <row r="2018" spans="1:3" x14ac:dyDescent="0.35">
      <c r="A2018" t="s">
        <v>43</v>
      </c>
      <c r="B2018">
        <v>2006</v>
      </c>
      <c r="C2018">
        <v>28.022458481182749</v>
      </c>
    </row>
    <row r="2019" spans="1:3" x14ac:dyDescent="0.35">
      <c r="A2019" t="s">
        <v>43</v>
      </c>
      <c r="B2019">
        <v>2007</v>
      </c>
      <c r="C2019">
        <v>29.076876178735688</v>
      </c>
    </row>
    <row r="2020" spans="1:3" x14ac:dyDescent="0.35">
      <c r="A2020" t="s">
        <v>43</v>
      </c>
      <c r="B2020">
        <v>2008</v>
      </c>
      <c r="C2020">
        <v>23.645736556308716</v>
      </c>
    </row>
    <row r="2021" spans="1:3" x14ac:dyDescent="0.35">
      <c r="A2021" t="s">
        <v>43</v>
      </c>
      <c r="B2021">
        <v>2009</v>
      </c>
      <c r="C2021">
        <v>26.405564662620176</v>
      </c>
    </row>
    <row r="2022" spans="1:3" x14ac:dyDescent="0.35">
      <c r="A2022" t="s">
        <v>43</v>
      </c>
      <c r="B2022">
        <v>2010</v>
      </c>
      <c r="C2022">
        <v>25.062278631202407</v>
      </c>
    </row>
    <row r="2023" spans="1:3" x14ac:dyDescent="0.35">
      <c r="A2023" t="s">
        <v>43</v>
      </c>
      <c r="B2023">
        <v>2011</v>
      </c>
      <c r="C2023">
        <v>25.476183906777404</v>
      </c>
    </row>
    <row r="2024" spans="1:3" x14ac:dyDescent="0.35">
      <c r="A2024" t="s">
        <v>43</v>
      </c>
      <c r="B2024">
        <v>2012</v>
      </c>
      <c r="C2024">
        <v>29.758934079796692</v>
      </c>
    </row>
    <row r="2025" spans="1:3" x14ac:dyDescent="0.35">
      <c r="A2025" t="s">
        <v>43</v>
      </c>
      <c r="B2025">
        <v>2013</v>
      </c>
      <c r="C2025">
        <v>31.684939411425276</v>
      </c>
    </row>
    <row r="2026" spans="1:3" x14ac:dyDescent="0.35">
      <c r="A2026" t="s">
        <v>43</v>
      </c>
      <c r="B2026">
        <v>2014</v>
      </c>
      <c r="C2026">
        <v>48.810630787716249</v>
      </c>
    </row>
    <row r="2027" spans="1:3" x14ac:dyDescent="0.35">
      <c r="A2027" t="s">
        <v>43</v>
      </c>
      <c r="B2027">
        <v>2015</v>
      </c>
      <c r="C2027">
        <v>39.226514265840258</v>
      </c>
    </row>
    <row r="2028" spans="1:3" x14ac:dyDescent="0.35">
      <c r="A2028" t="s">
        <v>43</v>
      </c>
      <c r="B2028">
        <v>2016</v>
      </c>
      <c r="C2028">
        <v>43.105275015371816</v>
      </c>
    </row>
    <row r="2029" spans="1:3" x14ac:dyDescent="0.35">
      <c r="A2029" t="s">
        <v>43</v>
      </c>
      <c r="B2029">
        <v>2017</v>
      </c>
      <c r="C2029">
        <v>39.411154606276234</v>
      </c>
    </row>
    <row r="2030" spans="1:3" x14ac:dyDescent="0.35">
      <c r="A2030" t="s">
        <v>43</v>
      </c>
      <c r="B2030">
        <v>2018</v>
      </c>
      <c r="C2030">
        <v>29.759324114841615</v>
      </c>
    </row>
    <row r="2031" spans="1:3" x14ac:dyDescent="0.35">
      <c r="A2031" t="s">
        <v>43</v>
      </c>
      <c r="B2031">
        <v>2019</v>
      </c>
      <c r="C2031">
        <v>24.549896885391622</v>
      </c>
    </row>
    <row r="2032" spans="1:3" x14ac:dyDescent="0.35">
      <c r="A2032" t="s">
        <v>43</v>
      </c>
      <c r="B2032">
        <v>2020</v>
      </c>
      <c r="C2032">
        <v>32.512958407020221</v>
      </c>
    </row>
    <row r="2033" spans="1:3" x14ac:dyDescent="0.35">
      <c r="A2033" t="s">
        <v>43</v>
      </c>
      <c r="B2033">
        <v>2021</v>
      </c>
      <c r="C2033">
        <v>43.010030366622289</v>
      </c>
    </row>
    <row r="2034" spans="1:3" x14ac:dyDescent="0.35">
      <c r="A2034" t="s">
        <v>43</v>
      </c>
      <c r="B2034">
        <v>2022</v>
      </c>
      <c r="C2034">
        <v>41.451773679592556</v>
      </c>
    </row>
    <row r="2035" spans="1:3" x14ac:dyDescent="0.35">
      <c r="A2035" t="s">
        <v>43</v>
      </c>
      <c r="B2035">
        <v>2023</v>
      </c>
      <c r="C2035">
        <v>38.681287533031465</v>
      </c>
    </row>
    <row r="2036" spans="1:3" x14ac:dyDescent="0.35">
      <c r="A2036" t="s">
        <v>43</v>
      </c>
      <c r="B2036">
        <v>2024</v>
      </c>
      <c r="C2036">
        <v>51.318582859967606</v>
      </c>
    </row>
    <row r="2037" spans="1:3" x14ac:dyDescent="0.35">
      <c r="A2037" t="s">
        <v>43</v>
      </c>
      <c r="B2037">
        <v>2025</v>
      </c>
      <c r="C2037">
        <v>32.18276610896686</v>
      </c>
    </row>
    <row r="2038" spans="1:3" x14ac:dyDescent="0.35">
      <c r="A2038" t="s">
        <v>44</v>
      </c>
      <c r="B2038">
        <v>1961</v>
      </c>
      <c r="C2038">
        <v>3.16</v>
      </c>
    </row>
    <row r="2039" spans="1:3" x14ac:dyDescent="0.35">
      <c r="A2039" t="s">
        <v>44</v>
      </c>
      <c r="B2039">
        <v>1962</v>
      </c>
      <c r="C2039">
        <v>3.7</v>
      </c>
    </row>
    <row r="2040" spans="1:3" x14ac:dyDescent="0.35">
      <c r="A2040" t="s">
        <v>44</v>
      </c>
      <c r="B2040">
        <v>1963</v>
      </c>
      <c r="C2040">
        <v>4.4800000000000004</v>
      </c>
    </row>
    <row r="2041" spans="1:3" x14ac:dyDescent="0.35">
      <c r="A2041" t="s">
        <v>44</v>
      </c>
      <c r="B2041">
        <v>1964</v>
      </c>
      <c r="C2041">
        <v>5.42</v>
      </c>
    </row>
    <row r="2042" spans="1:3" x14ac:dyDescent="0.35">
      <c r="A2042" t="s">
        <v>44</v>
      </c>
      <c r="B2042">
        <v>1965</v>
      </c>
      <c r="C2042">
        <v>5.17</v>
      </c>
    </row>
    <row r="2043" spans="1:3" x14ac:dyDescent="0.35">
      <c r="A2043" t="s">
        <v>44</v>
      </c>
      <c r="B2043">
        <v>1966</v>
      </c>
      <c r="C2043">
        <v>6.5</v>
      </c>
    </row>
    <row r="2044" spans="1:3" x14ac:dyDescent="0.35">
      <c r="A2044" t="s">
        <v>44</v>
      </c>
      <c r="B2044">
        <v>1967</v>
      </c>
      <c r="C2044">
        <v>7.53</v>
      </c>
    </row>
    <row r="2045" spans="1:3" x14ac:dyDescent="0.35">
      <c r="A2045" t="s">
        <v>44</v>
      </c>
      <c r="B2045">
        <v>1968</v>
      </c>
      <c r="C2045">
        <v>8.34</v>
      </c>
    </row>
    <row r="2046" spans="1:3" x14ac:dyDescent="0.35">
      <c r="A2046" t="s">
        <v>44</v>
      </c>
      <c r="B2046">
        <v>1969</v>
      </c>
      <c r="C2046">
        <v>9</v>
      </c>
    </row>
    <row r="2047" spans="1:3" x14ac:dyDescent="0.35">
      <c r="A2047" t="s">
        <v>44</v>
      </c>
      <c r="B2047">
        <v>1970</v>
      </c>
      <c r="C2047">
        <v>11.2</v>
      </c>
    </row>
    <row r="2048" spans="1:3" x14ac:dyDescent="0.35">
      <c r="A2048" t="s">
        <v>44</v>
      </c>
      <c r="B2048">
        <v>1971</v>
      </c>
      <c r="C2048">
        <v>11.4</v>
      </c>
    </row>
    <row r="2049" spans="1:3" x14ac:dyDescent="0.35">
      <c r="A2049" t="s">
        <v>44</v>
      </c>
      <c r="B2049">
        <v>1972</v>
      </c>
      <c r="C2049">
        <v>13.2</v>
      </c>
    </row>
    <row r="2050" spans="1:3" x14ac:dyDescent="0.35">
      <c r="A2050" t="s">
        <v>44</v>
      </c>
      <c r="B2050">
        <v>1973</v>
      </c>
      <c r="C2050">
        <v>16.100000000000001</v>
      </c>
    </row>
    <row r="2051" spans="1:3" x14ac:dyDescent="0.35">
      <c r="A2051" t="s">
        <v>44</v>
      </c>
      <c r="B2051">
        <v>1974</v>
      </c>
      <c r="C2051">
        <v>21.4</v>
      </c>
    </row>
    <row r="2052" spans="1:3" x14ac:dyDescent="0.35">
      <c r="A2052" t="s">
        <v>44</v>
      </c>
      <c r="B2052">
        <v>1975</v>
      </c>
      <c r="C2052">
        <v>23.1</v>
      </c>
    </row>
    <row r="2053" spans="1:3" x14ac:dyDescent="0.35">
      <c r="A2053" t="s">
        <v>44</v>
      </c>
      <c r="B2053">
        <v>1976</v>
      </c>
      <c r="C2053">
        <v>26.3</v>
      </c>
    </row>
    <row r="2054" spans="1:3" x14ac:dyDescent="0.35">
      <c r="A2054" t="s">
        <v>44</v>
      </c>
      <c r="B2054">
        <v>1977</v>
      </c>
      <c r="C2054">
        <v>31.7</v>
      </c>
    </row>
    <row r="2055" spans="1:3" x14ac:dyDescent="0.35">
      <c r="A2055" t="s">
        <v>44</v>
      </c>
      <c r="B2055">
        <v>1978</v>
      </c>
      <c r="C2055">
        <v>81.400000000000006</v>
      </c>
    </row>
    <row r="2056" spans="1:3" x14ac:dyDescent="0.35">
      <c r="A2056" t="s">
        <v>44</v>
      </c>
      <c r="B2056">
        <v>1979</v>
      </c>
      <c r="C2056">
        <v>87.7</v>
      </c>
    </row>
    <row r="2057" spans="1:3" x14ac:dyDescent="0.35">
      <c r="A2057" t="s">
        <v>44</v>
      </c>
      <c r="B2057">
        <v>1980</v>
      </c>
      <c r="C2057">
        <v>95.5</v>
      </c>
    </row>
    <row r="2058" spans="1:3" x14ac:dyDescent="0.35">
      <c r="A2058" t="s">
        <v>44</v>
      </c>
      <c r="B2058">
        <v>1981</v>
      </c>
      <c r="C2058">
        <v>134</v>
      </c>
    </row>
    <row r="2059" spans="1:3" x14ac:dyDescent="0.35">
      <c r="A2059" t="s">
        <v>44</v>
      </c>
      <c r="B2059">
        <v>1982</v>
      </c>
      <c r="C2059">
        <v>83.9</v>
      </c>
    </row>
    <row r="2060" spans="1:3" x14ac:dyDescent="0.35">
      <c r="A2060" t="s">
        <v>44</v>
      </c>
      <c r="B2060">
        <v>1983</v>
      </c>
      <c r="C2060">
        <v>83.9</v>
      </c>
    </row>
    <row r="2061" spans="1:3" x14ac:dyDescent="0.35">
      <c r="A2061" t="s">
        <v>44</v>
      </c>
      <c r="B2061">
        <v>1984</v>
      </c>
      <c r="C2061">
        <v>89.2</v>
      </c>
    </row>
    <row r="2062" spans="1:3" x14ac:dyDescent="0.35">
      <c r="A2062" t="s">
        <v>44</v>
      </c>
      <c r="B2062">
        <v>1985</v>
      </c>
      <c r="C2062">
        <v>44.3</v>
      </c>
    </row>
    <row r="2063" spans="1:3" x14ac:dyDescent="0.35">
      <c r="A2063" t="s">
        <v>44</v>
      </c>
      <c r="B2063">
        <v>1986</v>
      </c>
      <c r="C2063">
        <v>34.9</v>
      </c>
    </row>
    <row r="2064" spans="1:3" x14ac:dyDescent="0.35">
      <c r="A2064" t="s">
        <v>44</v>
      </c>
      <c r="B2064">
        <v>1987</v>
      </c>
      <c r="C2064">
        <v>28.5</v>
      </c>
    </row>
    <row r="2065" spans="1:3" x14ac:dyDescent="0.35">
      <c r="A2065" t="s">
        <v>44</v>
      </c>
      <c r="B2065">
        <v>1988</v>
      </c>
      <c r="C2065">
        <v>49.5</v>
      </c>
    </row>
    <row r="2066" spans="1:3" x14ac:dyDescent="0.35">
      <c r="A2066" t="s">
        <v>44</v>
      </c>
      <c r="B2066">
        <v>1989</v>
      </c>
      <c r="C2066">
        <v>8.56</v>
      </c>
    </row>
    <row r="2067" spans="1:3" x14ac:dyDescent="0.35">
      <c r="A2067" t="s">
        <v>44</v>
      </c>
      <c r="B2067">
        <v>2013</v>
      </c>
      <c r="C2067">
        <v>26.05</v>
      </c>
    </row>
    <row r="2068" spans="1:3" x14ac:dyDescent="0.35">
      <c r="A2068" t="s">
        <v>44</v>
      </c>
      <c r="B2068">
        <v>2014</v>
      </c>
      <c r="C2068">
        <v>60.258000000000003</v>
      </c>
    </row>
    <row r="2069" spans="1:3" x14ac:dyDescent="0.35">
      <c r="A2069" t="s">
        <v>44</v>
      </c>
      <c r="B2069">
        <v>2015</v>
      </c>
      <c r="C2069">
        <v>46.613999999999997</v>
      </c>
    </row>
    <row r="2070" spans="1:3" x14ac:dyDescent="0.35">
      <c r="A2070" t="s">
        <v>44</v>
      </c>
      <c r="B2070">
        <v>2016</v>
      </c>
      <c r="C2070">
        <v>47.706000000000003</v>
      </c>
    </row>
    <row r="2071" spans="1:3" x14ac:dyDescent="0.35">
      <c r="A2071" t="s">
        <v>44</v>
      </c>
      <c r="B2071">
        <v>2017</v>
      </c>
      <c r="C2071">
        <v>61.813000000000002</v>
      </c>
    </row>
    <row r="2072" spans="1:3" x14ac:dyDescent="0.35">
      <c r="A2072" t="s">
        <v>44</v>
      </c>
      <c r="B2072">
        <v>2018</v>
      </c>
      <c r="C2072">
        <v>76.561999999999998</v>
      </c>
    </row>
    <row r="2073" spans="1:3" x14ac:dyDescent="0.35">
      <c r="A2073" t="s">
        <v>44</v>
      </c>
      <c r="B2073">
        <v>2019</v>
      </c>
      <c r="C2073">
        <v>71.72</v>
      </c>
    </row>
    <row r="2074" spans="1:3" x14ac:dyDescent="0.35">
      <c r="A2074" t="s">
        <v>44</v>
      </c>
      <c r="B2074">
        <v>2020</v>
      </c>
      <c r="C2074">
        <v>98.156599999999997</v>
      </c>
    </row>
    <row r="2075" spans="1:3" x14ac:dyDescent="0.35">
      <c r="A2075" t="s">
        <v>44</v>
      </c>
      <c r="B2075">
        <v>2021</v>
      </c>
      <c r="C2075">
        <v>111.029</v>
      </c>
    </row>
    <row r="2076" spans="1:3" x14ac:dyDescent="0.35">
      <c r="A2076" t="s">
        <v>44</v>
      </c>
      <c r="B2076">
        <v>2022</v>
      </c>
      <c r="C2076">
        <v>118.661</v>
      </c>
    </row>
    <row r="2077" spans="1:3" x14ac:dyDescent="0.35">
      <c r="A2077" t="s">
        <v>44</v>
      </c>
      <c r="B2077">
        <v>2023</v>
      </c>
      <c r="C2077">
        <v>138.89599999999999</v>
      </c>
    </row>
    <row r="2078" spans="1:3" x14ac:dyDescent="0.35">
      <c r="A2078" t="s">
        <v>44</v>
      </c>
      <c r="B2078">
        <v>2024</v>
      </c>
      <c r="C2078">
        <v>201.85400000000001</v>
      </c>
    </row>
    <row r="2079" spans="1:3" x14ac:dyDescent="0.35">
      <c r="A2079" t="s">
        <v>44</v>
      </c>
      <c r="B2079">
        <v>2025</v>
      </c>
      <c r="C2079">
        <v>199.46799999999999</v>
      </c>
    </row>
    <row r="2080" spans="1:3" x14ac:dyDescent="0.35">
      <c r="A2080" t="s">
        <v>45</v>
      </c>
      <c r="B2080">
        <v>1951</v>
      </c>
      <c r="C2080">
        <v>64.749974100010363</v>
      </c>
    </row>
    <row r="2081" spans="1:3" x14ac:dyDescent="0.35">
      <c r="A2081" t="s">
        <v>45</v>
      </c>
      <c r="B2081">
        <v>1952</v>
      </c>
      <c r="C2081">
        <v>74.549970180011925</v>
      </c>
    </row>
    <row r="2082" spans="1:3" x14ac:dyDescent="0.35">
      <c r="A2082" t="s">
        <v>45</v>
      </c>
      <c r="B2082">
        <v>1953</v>
      </c>
      <c r="C2082">
        <v>65.799973680010524</v>
      </c>
    </row>
    <row r="2083" spans="1:3" x14ac:dyDescent="0.35">
      <c r="A2083" t="s">
        <v>45</v>
      </c>
      <c r="B2083">
        <v>1954</v>
      </c>
      <c r="C2083">
        <v>62.999974800010087</v>
      </c>
    </row>
    <row r="2084" spans="1:3" x14ac:dyDescent="0.35">
      <c r="A2084" t="s">
        <v>45</v>
      </c>
      <c r="B2084">
        <v>1955</v>
      </c>
      <c r="C2084">
        <v>67.199973120010753</v>
      </c>
    </row>
    <row r="2085" spans="1:3" x14ac:dyDescent="0.35">
      <c r="A2085" t="s">
        <v>45</v>
      </c>
      <c r="B2085">
        <v>1956</v>
      </c>
      <c r="C2085">
        <v>76.99996920001233</v>
      </c>
    </row>
    <row r="2086" spans="1:3" x14ac:dyDescent="0.35">
      <c r="A2086" t="s">
        <v>45</v>
      </c>
      <c r="B2086">
        <v>1957</v>
      </c>
      <c r="C2086">
        <v>81.899967240013112</v>
      </c>
    </row>
    <row r="2087" spans="1:3" x14ac:dyDescent="0.35">
      <c r="A2087" t="s">
        <v>45</v>
      </c>
      <c r="B2087">
        <v>1958</v>
      </c>
      <c r="C2087">
        <v>63.699974520010194</v>
      </c>
    </row>
    <row r="2088" spans="1:3" x14ac:dyDescent="0.35">
      <c r="A2088" t="s">
        <v>45</v>
      </c>
      <c r="B2088">
        <v>1959</v>
      </c>
      <c r="C2088">
        <v>60.549975780009689</v>
      </c>
    </row>
    <row r="2089" spans="1:3" x14ac:dyDescent="0.35">
      <c r="A2089" t="s">
        <v>45</v>
      </c>
      <c r="B2089">
        <v>1960</v>
      </c>
      <c r="C2089">
        <v>69.999972000011212</v>
      </c>
    </row>
    <row r="2090" spans="1:3" x14ac:dyDescent="0.35">
      <c r="A2090" t="s">
        <v>45</v>
      </c>
      <c r="B2090">
        <v>1961</v>
      </c>
      <c r="C2090">
        <v>113.74995450001821</v>
      </c>
    </row>
    <row r="2091" spans="1:3" x14ac:dyDescent="0.35">
      <c r="A2091" t="s">
        <v>45</v>
      </c>
      <c r="B2091">
        <v>1962</v>
      </c>
      <c r="C2091">
        <v>186.19992552002978</v>
      </c>
    </row>
    <row r="2092" spans="1:3" x14ac:dyDescent="0.35">
      <c r="A2092" t="s">
        <v>45</v>
      </c>
      <c r="B2092">
        <v>1963</v>
      </c>
      <c r="C2092">
        <v>188.99992440003027</v>
      </c>
    </row>
    <row r="2093" spans="1:3" x14ac:dyDescent="0.35">
      <c r="A2093" t="s">
        <v>45</v>
      </c>
      <c r="B2093">
        <v>1964</v>
      </c>
      <c r="C2093">
        <v>271.59989136004344</v>
      </c>
    </row>
    <row r="2094" spans="1:3" x14ac:dyDescent="0.35">
      <c r="A2094" t="s">
        <v>45</v>
      </c>
      <c r="B2094">
        <v>1965</v>
      </c>
      <c r="C2094">
        <v>289.44988422004633</v>
      </c>
    </row>
    <row r="2095" spans="1:3" x14ac:dyDescent="0.35">
      <c r="A2095" t="s">
        <v>45</v>
      </c>
      <c r="B2095">
        <v>1966</v>
      </c>
      <c r="C2095">
        <v>324.44987022005193</v>
      </c>
    </row>
    <row r="2096" spans="1:3" x14ac:dyDescent="0.35">
      <c r="A2096" t="s">
        <v>45</v>
      </c>
      <c r="B2096">
        <v>1967</v>
      </c>
      <c r="C2096">
        <v>373.09985076005972</v>
      </c>
    </row>
    <row r="2097" spans="1:3" x14ac:dyDescent="0.35">
      <c r="A2097" t="s">
        <v>45</v>
      </c>
      <c r="B2097">
        <v>1968</v>
      </c>
      <c r="C2097">
        <v>399.69984012006398</v>
      </c>
    </row>
    <row r="2098" spans="1:3" x14ac:dyDescent="0.35">
      <c r="A2098" t="s">
        <v>45</v>
      </c>
      <c r="B2098">
        <v>1969</v>
      </c>
      <c r="C2098">
        <v>425.59982976006813</v>
      </c>
    </row>
    <row r="2099" spans="1:3" x14ac:dyDescent="0.35">
      <c r="A2099" t="s">
        <v>45</v>
      </c>
      <c r="B2099">
        <v>1970</v>
      </c>
      <c r="C2099">
        <v>417.89983284006684</v>
      </c>
    </row>
    <row r="2100" spans="1:3" x14ac:dyDescent="0.35">
      <c r="A2100" t="s">
        <v>45</v>
      </c>
      <c r="B2100">
        <v>1971</v>
      </c>
      <c r="C2100">
        <v>485.86652722180821</v>
      </c>
    </row>
    <row r="2101" spans="1:3" x14ac:dyDescent="0.35">
      <c r="A2101" t="s">
        <v>45</v>
      </c>
      <c r="B2101">
        <v>1972</v>
      </c>
      <c r="C2101">
        <v>492.38654620433067</v>
      </c>
    </row>
    <row r="2102" spans="1:3" x14ac:dyDescent="0.35">
      <c r="A2102" t="s">
        <v>45</v>
      </c>
      <c r="B2102">
        <v>1973</v>
      </c>
      <c r="C2102">
        <v>752.92632561866048</v>
      </c>
    </row>
    <row r="2103" spans="1:3" x14ac:dyDescent="0.35">
      <c r="A2103" t="s">
        <v>45</v>
      </c>
      <c r="B2103">
        <v>1974</v>
      </c>
      <c r="C2103">
        <v>1102.318400770004</v>
      </c>
    </row>
    <row r="2104" spans="1:3" x14ac:dyDescent="0.35">
      <c r="A2104" t="s">
        <v>45</v>
      </c>
      <c r="B2104">
        <v>1975</v>
      </c>
      <c r="C2104">
        <v>1431.6951270304039</v>
      </c>
    </row>
    <row r="2105" spans="1:3" x14ac:dyDescent="0.35">
      <c r="A2105" t="s">
        <v>45</v>
      </c>
      <c r="B2105">
        <v>1976</v>
      </c>
      <c r="C2105">
        <v>1677.2754193188548</v>
      </c>
    </row>
    <row r="2106" spans="1:3" x14ac:dyDescent="0.35">
      <c r="A2106" t="s">
        <v>45</v>
      </c>
      <c r="B2106">
        <v>1977</v>
      </c>
      <c r="C2106">
        <v>2073.7380184345043</v>
      </c>
    </row>
    <row r="2107" spans="1:3" x14ac:dyDescent="0.35">
      <c r="A2107" t="s">
        <v>45</v>
      </c>
      <c r="B2107">
        <v>1978</v>
      </c>
      <c r="C2107">
        <v>2067.9880169970043</v>
      </c>
    </row>
    <row r="2108" spans="1:3" x14ac:dyDescent="0.35">
      <c r="A2108" t="s">
        <v>45</v>
      </c>
      <c r="B2108">
        <v>1979</v>
      </c>
      <c r="C2108">
        <v>2160.86733972825</v>
      </c>
    </row>
    <row r="2109" spans="1:3" x14ac:dyDescent="0.35">
      <c r="A2109" t="s">
        <v>45</v>
      </c>
      <c r="B2109">
        <v>1980</v>
      </c>
      <c r="C2109">
        <v>2661.6711648438563</v>
      </c>
    </row>
    <row r="2110" spans="1:3" x14ac:dyDescent="0.35">
      <c r="A2110" t="s">
        <v>45</v>
      </c>
      <c r="B2110">
        <v>1981</v>
      </c>
      <c r="C2110">
        <v>3011.9795482799841</v>
      </c>
    </row>
    <row r="2111" spans="1:3" x14ac:dyDescent="0.35">
      <c r="A2111" t="s">
        <v>45</v>
      </c>
      <c r="B2111">
        <v>1982</v>
      </c>
      <c r="C2111">
        <v>2744.6998581717044</v>
      </c>
    </row>
    <row r="2112" spans="1:3" x14ac:dyDescent="0.35">
      <c r="A2112" t="s">
        <v>45</v>
      </c>
      <c r="B2112">
        <v>1983</v>
      </c>
      <c r="C2112">
        <v>3052.6882685575802</v>
      </c>
    </row>
    <row r="2113" spans="1:3" x14ac:dyDescent="0.35">
      <c r="A2113" t="s">
        <v>45</v>
      </c>
      <c r="B2113">
        <v>1984</v>
      </c>
      <c r="C2113">
        <v>2770.1521067187246</v>
      </c>
    </row>
    <row r="2114" spans="1:3" x14ac:dyDescent="0.35">
      <c r="A2114" t="s">
        <v>45</v>
      </c>
      <c r="B2114">
        <v>1985</v>
      </c>
      <c r="C2114">
        <v>2117.4063454885645</v>
      </c>
    </row>
    <row r="2115" spans="1:3" x14ac:dyDescent="0.35">
      <c r="A2115" t="s">
        <v>45</v>
      </c>
      <c r="B2115">
        <v>1986</v>
      </c>
      <c r="C2115">
        <v>2497.8884303488358</v>
      </c>
    </row>
    <row r="2116" spans="1:3" x14ac:dyDescent="0.35">
      <c r="A2116" t="s">
        <v>45</v>
      </c>
      <c r="B2116">
        <v>1987</v>
      </c>
      <c r="C2116">
        <v>3595.9686252167212</v>
      </c>
    </row>
    <row r="2117" spans="1:3" x14ac:dyDescent="0.35">
      <c r="A2117" t="s">
        <v>45</v>
      </c>
      <c r="B2117">
        <v>1988</v>
      </c>
      <c r="C2117">
        <v>4263.0868232261691</v>
      </c>
    </row>
    <row r="2118" spans="1:3" x14ac:dyDescent="0.35">
      <c r="A2118" t="s">
        <v>45</v>
      </c>
      <c r="B2118">
        <v>1989</v>
      </c>
      <c r="C2118">
        <v>4181.8864672777463</v>
      </c>
    </row>
    <row r="2119" spans="1:3" x14ac:dyDescent="0.35">
      <c r="A2119" t="s">
        <v>45</v>
      </c>
      <c r="B2119">
        <v>1990</v>
      </c>
      <c r="C2119">
        <v>4364.4582038557273</v>
      </c>
    </row>
    <row r="2120" spans="1:3" x14ac:dyDescent="0.35">
      <c r="A2120" t="s">
        <v>45</v>
      </c>
      <c r="B2120">
        <v>1991</v>
      </c>
      <c r="C2120">
        <v>3874.4151347906072</v>
      </c>
    </row>
    <row r="2121" spans="1:3" x14ac:dyDescent="0.35">
      <c r="A2121" t="s">
        <v>45</v>
      </c>
      <c r="B2121">
        <v>1992</v>
      </c>
      <c r="C2121">
        <v>3677.4064607066598</v>
      </c>
    </row>
    <row r="2122" spans="1:3" x14ac:dyDescent="0.35">
      <c r="A2122" t="s">
        <v>45</v>
      </c>
      <c r="B2122">
        <v>1993</v>
      </c>
      <c r="C2122">
        <v>3254.3133786653775</v>
      </c>
    </row>
    <row r="2123" spans="1:3" x14ac:dyDescent="0.35">
      <c r="A2123" t="s">
        <v>45</v>
      </c>
      <c r="B2123">
        <v>1994</v>
      </c>
      <c r="C2123">
        <v>3478.5822913146335</v>
      </c>
    </row>
    <row r="2124" spans="1:3" x14ac:dyDescent="0.35">
      <c r="A2124" t="s">
        <v>45</v>
      </c>
      <c r="B2124">
        <v>1995</v>
      </c>
      <c r="C2124">
        <v>3292.4465618443437</v>
      </c>
    </row>
    <row r="2125" spans="1:3" x14ac:dyDescent="0.35">
      <c r="A2125" t="s">
        <v>45</v>
      </c>
      <c r="B2125">
        <v>1996</v>
      </c>
      <c r="C2125">
        <v>2591.7871306127672</v>
      </c>
    </row>
    <row r="2126" spans="1:3" x14ac:dyDescent="0.35">
      <c r="A2126" t="s">
        <v>45</v>
      </c>
      <c r="B2126">
        <v>1997</v>
      </c>
      <c r="C2126">
        <v>2414.1377095287285</v>
      </c>
    </row>
    <row r="2127" spans="1:3" x14ac:dyDescent="0.35">
      <c r="A2127" t="s">
        <v>45</v>
      </c>
      <c r="B2127">
        <v>1998</v>
      </c>
      <c r="C2127">
        <v>1905.6560087405126</v>
      </c>
    </row>
    <row r="2128" spans="1:3" x14ac:dyDescent="0.35">
      <c r="A2128" t="s">
        <v>45</v>
      </c>
      <c r="B2128">
        <v>1999</v>
      </c>
      <c r="C2128">
        <v>1738.0366250482857</v>
      </c>
    </row>
    <row r="2129" spans="1:3" x14ac:dyDescent="0.35">
      <c r="A2129" t="s">
        <v>45</v>
      </c>
      <c r="B2129">
        <v>2000</v>
      </c>
      <c r="C2129">
        <v>1891.7250134369287</v>
      </c>
    </row>
    <row r="2130" spans="1:3" x14ac:dyDescent="0.35">
      <c r="A2130" t="s">
        <v>45</v>
      </c>
      <c r="B2130">
        <v>2001</v>
      </c>
      <c r="C2130">
        <v>1802.2622363570049</v>
      </c>
    </row>
    <row r="2131" spans="1:3" x14ac:dyDescent="0.35">
      <c r="A2131" t="s">
        <v>45</v>
      </c>
      <c r="B2131">
        <v>2002</v>
      </c>
      <c r="C2131">
        <v>1766.0828977202655</v>
      </c>
    </row>
    <row r="2132" spans="1:3" x14ac:dyDescent="0.35">
      <c r="A2132" t="s">
        <v>45</v>
      </c>
      <c r="B2132">
        <v>2003</v>
      </c>
      <c r="C2132">
        <v>2574.1762781321258</v>
      </c>
    </row>
    <row r="2133" spans="1:3" x14ac:dyDescent="0.35">
      <c r="A2133" t="s">
        <v>45</v>
      </c>
      <c r="B2133">
        <v>2004</v>
      </c>
      <c r="C2133">
        <v>3099.0651254162349</v>
      </c>
    </row>
    <row r="2134" spans="1:3" x14ac:dyDescent="0.35">
      <c r="A2134" t="s">
        <v>45</v>
      </c>
      <c r="B2134">
        <v>2005</v>
      </c>
      <c r="C2134">
        <v>3566.9638153704873</v>
      </c>
    </row>
    <row r="2135" spans="1:3" x14ac:dyDescent="0.35">
      <c r="A2135" t="s">
        <v>45</v>
      </c>
      <c r="B2135">
        <v>2006</v>
      </c>
      <c r="C2135">
        <v>3506.1396578331401</v>
      </c>
    </row>
    <row r="2136" spans="1:3" x14ac:dyDescent="0.35">
      <c r="A2136" t="s">
        <v>45</v>
      </c>
      <c r="B2136">
        <v>2007</v>
      </c>
      <c r="C2136">
        <v>3525.684243694795</v>
      </c>
    </row>
    <row r="2137" spans="1:3" x14ac:dyDescent="0.35">
      <c r="A2137" t="s">
        <v>45</v>
      </c>
      <c r="B2137">
        <v>2008</v>
      </c>
      <c r="C2137">
        <v>3285.9250812833939</v>
      </c>
    </row>
    <row r="2138" spans="1:3" x14ac:dyDescent="0.35">
      <c r="A2138" t="s">
        <v>45</v>
      </c>
      <c r="B2138">
        <v>2009</v>
      </c>
      <c r="C2138">
        <v>3592.6877020228544</v>
      </c>
    </row>
    <row r="2139" spans="1:3" x14ac:dyDescent="0.35">
      <c r="A2139" t="s">
        <v>45</v>
      </c>
      <c r="B2139">
        <v>2010</v>
      </c>
      <c r="C2139">
        <v>4188.1680922032119</v>
      </c>
    </row>
    <row r="2140" spans="1:3" x14ac:dyDescent="0.35">
      <c r="A2140" t="s">
        <v>45</v>
      </c>
      <c r="B2140">
        <v>2011</v>
      </c>
      <c r="C2140">
        <v>4594.1540779465458</v>
      </c>
    </row>
    <row r="2141" spans="1:3" x14ac:dyDescent="0.35">
      <c r="A2141" t="s">
        <v>45</v>
      </c>
      <c r="B2141">
        <v>2012</v>
      </c>
      <c r="C2141">
        <v>4489.5900959443215</v>
      </c>
    </row>
    <row r="2142" spans="1:3" x14ac:dyDescent="0.35">
      <c r="A2142" t="s">
        <v>45</v>
      </c>
      <c r="B2142">
        <v>2013</v>
      </c>
      <c r="C2142">
        <v>4118.2084834273428</v>
      </c>
    </row>
    <row r="2143" spans="1:3" x14ac:dyDescent="0.35">
      <c r="A2143" t="s">
        <v>45</v>
      </c>
      <c r="B2143">
        <v>2014</v>
      </c>
      <c r="C2143">
        <v>3892.4850910694445</v>
      </c>
    </row>
    <row r="2144" spans="1:3" x14ac:dyDescent="0.35">
      <c r="A2144" t="s">
        <v>45</v>
      </c>
      <c r="B2144">
        <v>2015</v>
      </c>
      <c r="C2144">
        <v>3488.8679478399654</v>
      </c>
    </row>
    <row r="2145" spans="1:3" x14ac:dyDescent="0.35">
      <c r="A2145" t="s">
        <v>45</v>
      </c>
      <c r="B2145">
        <v>2016</v>
      </c>
      <c r="C2145">
        <v>3141.9933783207694</v>
      </c>
    </row>
    <row r="2146" spans="1:3" x14ac:dyDescent="0.35">
      <c r="A2146" t="s">
        <v>45</v>
      </c>
      <c r="B2146">
        <v>2017</v>
      </c>
      <c r="C2146">
        <v>3596.2859602436156</v>
      </c>
    </row>
    <row r="2147" spans="1:3" x14ac:dyDescent="0.35">
      <c r="A2147" t="s">
        <v>45</v>
      </c>
      <c r="B2147">
        <v>2018</v>
      </c>
      <c r="C2147">
        <v>3626.0988077152883</v>
      </c>
    </row>
    <row r="2148" spans="1:3" x14ac:dyDescent="0.35">
      <c r="A2148" t="s">
        <v>45</v>
      </c>
      <c r="B2148">
        <v>2019</v>
      </c>
      <c r="C2148">
        <v>3435.5660177828754</v>
      </c>
    </row>
    <row r="2149" spans="1:3" x14ac:dyDescent="0.35">
      <c r="A2149" t="s">
        <v>45</v>
      </c>
      <c r="B2149">
        <v>2020</v>
      </c>
      <c r="C2149">
        <v>3232.7637947594749</v>
      </c>
    </row>
    <row r="2150" spans="1:3" x14ac:dyDescent="0.35">
      <c r="A2150" t="s">
        <v>45</v>
      </c>
      <c r="B2150">
        <v>2021</v>
      </c>
      <c r="C2150">
        <v>3546.8733564169211</v>
      </c>
    </row>
    <row r="2151" spans="1:3" x14ac:dyDescent="0.35">
      <c r="A2151" t="s">
        <v>45</v>
      </c>
      <c r="B2151">
        <v>2022</v>
      </c>
      <c r="C2151">
        <v>3461.4289650889914</v>
      </c>
    </row>
    <row r="2152" spans="1:3" x14ac:dyDescent="0.35">
      <c r="A2152" t="s">
        <v>45</v>
      </c>
      <c r="B2152">
        <v>2023</v>
      </c>
      <c r="C2152">
        <v>3059.5435189838945</v>
      </c>
    </row>
    <row r="2153" spans="1:3" x14ac:dyDescent="0.35">
      <c r="A2153" t="s">
        <v>45</v>
      </c>
      <c r="B2153">
        <v>2024</v>
      </c>
      <c r="C2153">
        <v>3033.2513358832093</v>
      </c>
    </row>
    <row r="2154" spans="1:3" x14ac:dyDescent="0.35">
      <c r="A2154" t="s">
        <v>45</v>
      </c>
      <c r="B2154">
        <v>2025</v>
      </c>
      <c r="C2154">
        <v>3173.8743297418496</v>
      </c>
    </row>
    <row r="2155" spans="1:3" x14ac:dyDescent="0.35">
      <c r="A2155" t="s">
        <v>46</v>
      </c>
      <c r="B2155">
        <v>2006</v>
      </c>
      <c r="C2155">
        <v>551.4545044277537</v>
      </c>
    </row>
    <row r="2156" spans="1:3" x14ac:dyDescent="0.35">
      <c r="A2156" t="s">
        <v>46</v>
      </c>
      <c r="B2156">
        <v>2007</v>
      </c>
      <c r="C2156">
        <v>587.96686672288081</v>
      </c>
    </row>
    <row r="2157" spans="1:3" x14ac:dyDescent="0.35">
      <c r="A2157" t="s">
        <v>46</v>
      </c>
      <c r="B2157">
        <v>2008</v>
      </c>
      <c r="C2157">
        <v>896.39070693152678</v>
      </c>
    </row>
    <row r="2158" spans="1:3" x14ac:dyDescent="0.35">
      <c r="A2158" t="s">
        <v>46</v>
      </c>
      <c r="B2158">
        <v>2009</v>
      </c>
      <c r="C2158">
        <v>609.89863264871622</v>
      </c>
    </row>
    <row r="2159" spans="1:3" x14ac:dyDescent="0.35">
      <c r="A2159" t="s">
        <v>46</v>
      </c>
      <c r="B2159">
        <v>2010</v>
      </c>
      <c r="C2159">
        <v>650.9106678230703</v>
      </c>
    </row>
    <row r="2160" spans="1:3" x14ac:dyDescent="0.35">
      <c r="A2160" t="s">
        <v>46</v>
      </c>
      <c r="B2160">
        <v>2011</v>
      </c>
      <c r="C2160">
        <v>1066.6214689265537</v>
      </c>
    </row>
    <row r="2161" spans="1:3" x14ac:dyDescent="0.35">
      <c r="A2161" t="s">
        <v>46</v>
      </c>
      <c r="B2161">
        <v>2012</v>
      </c>
      <c r="C2161">
        <v>988.22598870056493</v>
      </c>
    </row>
    <row r="2162" spans="1:3" x14ac:dyDescent="0.35">
      <c r="A2162" t="s">
        <v>46</v>
      </c>
      <c r="B2162">
        <v>2013</v>
      </c>
      <c r="C2162">
        <v>981.98305084745755</v>
      </c>
    </row>
    <row r="2163" spans="1:3" x14ac:dyDescent="0.35">
      <c r="A2163" t="s">
        <v>46</v>
      </c>
      <c r="B2163">
        <v>2014</v>
      </c>
      <c r="C2163">
        <v>1301.5254237288134</v>
      </c>
    </row>
    <row r="2164" spans="1:3" x14ac:dyDescent="0.35">
      <c r="A2164" t="s">
        <v>46</v>
      </c>
      <c r="B2164">
        <v>2015</v>
      </c>
      <c r="C2164">
        <v>283.40482880194457</v>
      </c>
    </row>
    <row r="2165" spans="1:3" x14ac:dyDescent="0.35">
      <c r="A2165" t="s">
        <v>46</v>
      </c>
      <c r="B2165">
        <v>2016</v>
      </c>
      <c r="C2165">
        <v>78.633014084909917</v>
      </c>
    </row>
    <row r="2166" spans="1:3" x14ac:dyDescent="0.35">
      <c r="A2166" t="s">
        <v>46</v>
      </c>
      <c r="B2166">
        <v>2017</v>
      </c>
      <c r="C2166">
        <v>63.984071950171987</v>
      </c>
    </row>
    <row r="2167" spans="1:3" x14ac:dyDescent="0.35">
      <c r="A2167" t="s">
        <v>46</v>
      </c>
      <c r="B2167">
        <v>2018</v>
      </c>
      <c r="C2167">
        <v>136.9843536973317</v>
      </c>
    </row>
    <row r="2168" spans="1:3" x14ac:dyDescent="0.35">
      <c r="A2168" t="s">
        <v>46</v>
      </c>
      <c r="B2168">
        <v>2019</v>
      </c>
      <c r="C2168">
        <v>150.80607114035632</v>
      </c>
    </row>
    <row r="2169" spans="1:3" x14ac:dyDescent="0.35">
      <c r="A2169" t="s">
        <v>46</v>
      </c>
      <c r="B2169">
        <v>2020</v>
      </c>
      <c r="C2169">
        <v>94.723120200766132</v>
      </c>
    </row>
    <row r="2170" spans="1:3" x14ac:dyDescent="0.35">
      <c r="A2170" t="s">
        <v>46</v>
      </c>
      <c r="B2170">
        <v>2021</v>
      </c>
      <c r="C2170">
        <v>64.287301462384903</v>
      </c>
    </row>
    <row r="2171" spans="1:3" x14ac:dyDescent="0.35">
      <c r="A2171" t="s">
        <v>46</v>
      </c>
      <c r="B2171">
        <v>2022</v>
      </c>
      <c r="C2171">
        <v>101.38563698054875</v>
      </c>
    </row>
    <row r="2172" spans="1:3" x14ac:dyDescent="0.35">
      <c r="A2172" t="s">
        <v>46</v>
      </c>
      <c r="B2172">
        <v>2023</v>
      </c>
      <c r="C2172">
        <v>148.53560040523445</v>
      </c>
    </row>
    <row r="2173" spans="1:3" x14ac:dyDescent="0.35">
      <c r="A2173" t="s">
        <v>46</v>
      </c>
      <c r="B2173">
        <v>2024</v>
      </c>
      <c r="C2173">
        <v>168.80366808123168</v>
      </c>
    </row>
    <row r="2174" spans="1:3" x14ac:dyDescent="0.35">
      <c r="A2174" t="s">
        <v>46</v>
      </c>
      <c r="B2174">
        <v>2025</v>
      </c>
      <c r="C2174">
        <v>178.42246569474258</v>
      </c>
    </row>
    <row r="2175" spans="1:3" x14ac:dyDescent="0.35">
      <c r="A2175" t="s">
        <v>47</v>
      </c>
      <c r="B2175">
        <v>1956</v>
      </c>
      <c r="C2175">
        <v>9.648462850546459E-2</v>
      </c>
    </row>
    <row r="2176" spans="1:3" x14ac:dyDescent="0.35">
      <c r="A2176" t="s">
        <v>47</v>
      </c>
      <c r="B2176">
        <v>1957</v>
      </c>
      <c r="C2176">
        <v>14.101091326823665</v>
      </c>
    </row>
    <row r="2177" spans="1:3" x14ac:dyDescent="0.35">
      <c r="A2177" t="s">
        <v>47</v>
      </c>
      <c r="B2177">
        <v>1958</v>
      </c>
      <c r="C2177">
        <v>14.359563469270535</v>
      </c>
    </row>
    <row r="2178" spans="1:3" x14ac:dyDescent="0.35">
      <c r="A2178" t="s">
        <v>47</v>
      </c>
      <c r="B2178">
        <v>1959</v>
      </c>
      <c r="C2178">
        <v>16.599655370476739</v>
      </c>
    </row>
    <row r="2179" spans="1:3" x14ac:dyDescent="0.35">
      <c r="A2179" t="s">
        <v>47</v>
      </c>
      <c r="B2179">
        <v>1960</v>
      </c>
      <c r="C2179">
        <v>18.667432510051693</v>
      </c>
    </row>
    <row r="2180" spans="1:3" x14ac:dyDescent="0.35">
      <c r="A2180" t="s">
        <v>47</v>
      </c>
      <c r="B2180">
        <v>1961</v>
      </c>
      <c r="C2180">
        <v>20.505456634118321</v>
      </c>
    </row>
    <row r="2181" spans="1:3" x14ac:dyDescent="0.35">
      <c r="A2181" t="s">
        <v>47</v>
      </c>
      <c r="B2181">
        <v>1962</v>
      </c>
      <c r="C2181">
        <v>24.842044801838025</v>
      </c>
    </row>
    <row r="2182" spans="1:3" x14ac:dyDescent="0.35">
      <c r="A2182" t="s">
        <v>47</v>
      </c>
      <c r="B2182">
        <v>1963</v>
      </c>
      <c r="C2182">
        <v>28.144744399770246</v>
      </c>
    </row>
    <row r="2183" spans="1:3" x14ac:dyDescent="0.35">
      <c r="A2183" t="s">
        <v>47</v>
      </c>
      <c r="B2183">
        <v>1964</v>
      </c>
      <c r="C2183">
        <v>41.872487076392872</v>
      </c>
    </row>
    <row r="2184" spans="1:3" x14ac:dyDescent="0.35">
      <c r="A2184" t="s">
        <v>47</v>
      </c>
      <c r="B2184">
        <v>1965</v>
      </c>
      <c r="C2184">
        <v>56.375646180356114</v>
      </c>
    </row>
    <row r="2185" spans="1:3" x14ac:dyDescent="0.35">
      <c r="A2185" t="s">
        <v>47</v>
      </c>
      <c r="B2185">
        <v>1966</v>
      </c>
      <c r="C2185">
        <v>50.31591039632395</v>
      </c>
    </row>
    <row r="2186" spans="1:3" x14ac:dyDescent="0.35">
      <c r="A2186" t="s">
        <v>47</v>
      </c>
      <c r="B2186">
        <v>1967</v>
      </c>
      <c r="C2186">
        <v>52.268811028144746</v>
      </c>
    </row>
    <row r="2187" spans="1:3" x14ac:dyDescent="0.35">
      <c r="A2187" t="s">
        <v>47</v>
      </c>
      <c r="B2187">
        <v>1968</v>
      </c>
      <c r="C2187">
        <v>57.725445146467543</v>
      </c>
    </row>
    <row r="2188" spans="1:3" x14ac:dyDescent="0.35">
      <c r="A2188" t="s">
        <v>47</v>
      </c>
      <c r="B2188">
        <v>1969</v>
      </c>
      <c r="C2188">
        <v>87.018954623779436</v>
      </c>
    </row>
    <row r="2189" spans="1:3" x14ac:dyDescent="0.35">
      <c r="A2189" t="s">
        <v>47</v>
      </c>
      <c r="B2189">
        <v>1970</v>
      </c>
      <c r="C2189">
        <v>108.27110855829983</v>
      </c>
    </row>
    <row r="2190" spans="1:3" x14ac:dyDescent="0.35">
      <c r="A2190" t="s">
        <v>47</v>
      </c>
      <c r="B2190">
        <v>1971</v>
      </c>
      <c r="C2190">
        <v>109.99425617461229</v>
      </c>
    </row>
    <row r="2191" spans="1:3" x14ac:dyDescent="0.35">
      <c r="A2191" t="s">
        <v>47</v>
      </c>
      <c r="B2191">
        <v>1972</v>
      </c>
      <c r="C2191">
        <v>107.98391728891441</v>
      </c>
    </row>
    <row r="2192" spans="1:3" x14ac:dyDescent="0.35">
      <c r="A2192" t="s">
        <v>47</v>
      </c>
      <c r="B2192">
        <v>1973</v>
      </c>
      <c r="C2192">
        <v>113.15336013785181</v>
      </c>
    </row>
    <row r="2193" spans="1:3" x14ac:dyDescent="0.35">
      <c r="A2193" t="s">
        <v>47</v>
      </c>
      <c r="B2193">
        <v>1974</v>
      </c>
      <c r="C2193">
        <v>111.43021252153935</v>
      </c>
    </row>
    <row r="2194" spans="1:3" x14ac:dyDescent="0.35">
      <c r="A2194" t="s">
        <v>47</v>
      </c>
      <c r="B2194">
        <v>1975</v>
      </c>
      <c r="C2194">
        <v>119.47156806433085</v>
      </c>
    </row>
    <row r="2195" spans="1:3" x14ac:dyDescent="0.35">
      <c r="A2195" t="s">
        <v>47</v>
      </c>
      <c r="B2195">
        <v>1976</v>
      </c>
      <c r="C2195">
        <v>179.20735209649627</v>
      </c>
    </row>
    <row r="2196" spans="1:3" x14ac:dyDescent="0.35">
      <c r="A2196" t="s">
        <v>47</v>
      </c>
      <c r="B2196">
        <v>1977</v>
      </c>
      <c r="C2196">
        <v>216.53848583884255</v>
      </c>
    </row>
    <row r="2197" spans="1:3" x14ac:dyDescent="0.35">
      <c r="A2197" t="s">
        <v>47</v>
      </c>
      <c r="B2197">
        <v>1978</v>
      </c>
      <c r="C2197">
        <v>175.91640791411888</v>
      </c>
    </row>
    <row r="2198" spans="1:3" x14ac:dyDescent="0.35">
      <c r="A2198" t="s">
        <v>47</v>
      </c>
      <c r="B2198">
        <v>1979</v>
      </c>
      <c r="C2198">
        <v>239.99981359237779</v>
      </c>
    </row>
    <row r="2199" spans="1:3" x14ac:dyDescent="0.35">
      <c r="A2199" t="s">
        <v>47</v>
      </c>
      <c r="B2199">
        <v>1980</v>
      </c>
      <c r="C2199">
        <v>228</v>
      </c>
    </row>
    <row r="2200" spans="1:3" x14ac:dyDescent="0.35">
      <c r="A2200" t="s">
        <v>47</v>
      </c>
      <c r="B2200">
        <v>1981</v>
      </c>
      <c r="C2200">
        <v>203.98741719721289</v>
      </c>
    </row>
    <row r="2201" spans="1:3" x14ac:dyDescent="0.35">
      <c r="A2201" t="s">
        <v>47</v>
      </c>
      <c r="B2201">
        <v>1982</v>
      </c>
      <c r="C2201">
        <v>172.21463824425078</v>
      </c>
    </row>
    <row r="2202" spans="1:3" x14ac:dyDescent="0.35">
      <c r="A2202" t="s">
        <v>47</v>
      </c>
      <c r="B2202">
        <v>1983</v>
      </c>
      <c r="C2202">
        <v>230.76923076923077</v>
      </c>
    </row>
    <row r="2203" spans="1:3" x14ac:dyDescent="0.35">
      <c r="A2203" t="s">
        <v>47</v>
      </c>
      <c r="B2203">
        <v>1984</v>
      </c>
      <c r="C2203">
        <v>355.38461538461542</v>
      </c>
    </row>
    <row r="2204" spans="1:3" x14ac:dyDescent="0.35">
      <c r="A2204" t="s">
        <v>47</v>
      </c>
      <c r="B2204">
        <v>1985</v>
      </c>
      <c r="C2204">
        <v>205.29335682849975</v>
      </c>
    </row>
    <row r="2205" spans="1:3" x14ac:dyDescent="0.35">
      <c r="A2205" t="s">
        <v>47</v>
      </c>
      <c r="B2205">
        <v>1986</v>
      </c>
      <c r="C2205">
        <v>260</v>
      </c>
    </row>
    <row r="2206" spans="1:3" x14ac:dyDescent="0.35">
      <c r="A2206" t="s">
        <v>47</v>
      </c>
      <c r="B2206">
        <v>1987</v>
      </c>
      <c r="C2206">
        <v>310.33333333333331</v>
      </c>
    </row>
    <row r="2207" spans="1:3" x14ac:dyDescent="0.35">
      <c r="A2207" t="s">
        <v>47</v>
      </c>
      <c r="B2207">
        <v>1988</v>
      </c>
      <c r="C2207">
        <v>369.33333333333337</v>
      </c>
    </row>
    <row r="2208" spans="1:3" x14ac:dyDescent="0.35">
      <c r="A2208" t="s">
        <v>47</v>
      </c>
      <c r="B2208">
        <v>1990</v>
      </c>
      <c r="C2208">
        <v>1177.7777777777778</v>
      </c>
    </row>
    <row r="2209" spans="1:3" x14ac:dyDescent="0.35">
      <c r="A2209" t="s">
        <v>47</v>
      </c>
      <c r="B2209">
        <v>1991</v>
      </c>
      <c r="C2209">
        <v>1365.7981149110651</v>
      </c>
    </row>
    <row r="2210" spans="1:3" x14ac:dyDescent="0.35">
      <c r="A2210" t="s">
        <v>47</v>
      </c>
      <c r="B2210">
        <v>1992</v>
      </c>
      <c r="C2210">
        <v>183.71844071282757</v>
      </c>
    </row>
    <row r="2211" spans="1:3" x14ac:dyDescent="0.35">
      <c r="A2211" t="s">
        <v>47</v>
      </c>
      <c r="B2211">
        <v>1993</v>
      </c>
      <c r="C2211">
        <v>257.98109394026886</v>
      </c>
    </row>
    <row r="2212" spans="1:3" x14ac:dyDescent="0.35">
      <c r="A2212" t="s">
        <v>47</v>
      </c>
      <c r="B2212">
        <v>1994</v>
      </c>
      <c r="C2212">
        <v>226.16700447845196</v>
      </c>
    </row>
    <row r="2213" spans="1:3" x14ac:dyDescent="0.35">
      <c r="A2213" t="s">
        <v>47</v>
      </c>
      <c r="B2213">
        <v>1995</v>
      </c>
      <c r="C2213">
        <v>138.75642566201964</v>
      </c>
    </row>
    <row r="2214" spans="1:3" x14ac:dyDescent="0.35">
      <c r="A2214" t="s">
        <v>47</v>
      </c>
      <c r="B2214">
        <v>1996</v>
      </c>
      <c r="C2214">
        <v>106.33279767187136</v>
      </c>
    </row>
    <row r="2215" spans="1:3" x14ac:dyDescent="0.35">
      <c r="A2215" t="s">
        <v>47</v>
      </c>
      <c r="B2215">
        <v>1997</v>
      </c>
      <c r="C2215">
        <v>97.731859316892383</v>
      </c>
    </row>
    <row r="2216" spans="1:3" x14ac:dyDescent="0.35">
      <c r="A2216" t="s">
        <v>47</v>
      </c>
      <c r="B2216">
        <v>1998</v>
      </c>
      <c r="C2216">
        <v>259.95757014372361</v>
      </c>
    </row>
    <row r="2217" spans="1:3" x14ac:dyDescent="0.35">
      <c r="A2217" t="s">
        <v>47</v>
      </c>
      <c r="B2217">
        <v>1999</v>
      </c>
      <c r="C2217">
        <v>429.61789744605028</v>
      </c>
    </row>
    <row r="2218" spans="1:3" x14ac:dyDescent="0.35">
      <c r="A2218" t="s">
        <v>47</v>
      </c>
      <c r="B2218">
        <v>2000</v>
      </c>
      <c r="C2218">
        <v>587.26757232919658</v>
      </c>
    </row>
    <row r="2219" spans="1:3" x14ac:dyDescent="0.35">
      <c r="A2219" t="s">
        <v>47</v>
      </c>
      <c r="B2219">
        <v>2001</v>
      </c>
      <c r="C2219">
        <v>388.09131742313554</v>
      </c>
    </row>
    <row r="2220" spans="1:3" x14ac:dyDescent="0.35">
      <c r="A2220" t="s">
        <v>47</v>
      </c>
      <c r="B2220">
        <v>2002</v>
      </c>
      <c r="C2220">
        <v>484.60726303236538</v>
      </c>
    </row>
    <row r="2221" spans="1:3" x14ac:dyDescent="0.35">
      <c r="A2221" t="s">
        <v>47</v>
      </c>
      <c r="B2221">
        <v>2003</v>
      </c>
      <c r="C2221">
        <v>398.11022173858066</v>
      </c>
    </row>
    <row r="2222" spans="1:3" x14ac:dyDescent="0.35">
      <c r="A2222" t="s">
        <v>47</v>
      </c>
      <c r="B2222">
        <v>2004</v>
      </c>
      <c r="C2222">
        <v>1240.766949070394</v>
      </c>
    </row>
    <row r="2223" spans="1:3" x14ac:dyDescent="0.35">
      <c r="A2223" t="s">
        <v>47</v>
      </c>
      <c r="B2223">
        <v>2005</v>
      </c>
      <c r="C2223">
        <v>1164.9959360606883</v>
      </c>
    </row>
    <row r="2224" spans="1:3" x14ac:dyDescent="0.35">
      <c r="A2224" t="s">
        <v>47</v>
      </c>
      <c r="B2224">
        <v>2006</v>
      </c>
      <c r="C2224">
        <v>1647.8391943710703</v>
      </c>
    </row>
    <row r="2225" spans="1:3" x14ac:dyDescent="0.35">
      <c r="A2225" t="s">
        <v>47</v>
      </c>
      <c r="B2225">
        <v>2007</v>
      </c>
      <c r="C2225">
        <v>2427.0725947480155</v>
      </c>
    </row>
    <row r="2226" spans="1:3" x14ac:dyDescent="0.35">
      <c r="A2226" t="s">
        <v>47</v>
      </c>
      <c r="B2226">
        <v>2008</v>
      </c>
      <c r="C2226">
        <v>3228.0000000000005</v>
      </c>
    </row>
    <row r="2227" spans="1:3" x14ac:dyDescent="0.35">
      <c r="A2227" t="s">
        <v>47</v>
      </c>
      <c r="B2227">
        <v>2009</v>
      </c>
      <c r="C2227">
        <v>3180.4830097306613</v>
      </c>
    </row>
    <row r="2228" spans="1:3" x14ac:dyDescent="0.35">
      <c r="A2228" t="s">
        <v>47</v>
      </c>
      <c r="B2228">
        <v>2015</v>
      </c>
      <c r="C2228">
        <v>2279.6216395618985</v>
      </c>
    </row>
    <row r="2229" spans="1:3" x14ac:dyDescent="0.35">
      <c r="A2229" t="s">
        <v>47</v>
      </c>
      <c r="B2229">
        <v>2016</v>
      </c>
      <c r="C2229">
        <v>2728.8765977437361</v>
      </c>
    </row>
    <row r="2230" spans="1:3" x14ac:dyDescent="0.35">
      <c r="A2230" t="s">
        <v>47</v>
      </c>
      <c r="B2230">
        <v>2017</v>
      </c>
      <c r="C2230">
        <v>4357.5387230375136</v>
      </c>
    </row>
    <row r="2231" spans="1:3" x14ac:dyDescent="0.35">
      <c r="A2231" t="s">
        <v>47</v>
      </c>
      <c r="B2231">
        <v>2018</v>
      </c>
      <c r="C2231">
        <v>995.83989179704452</v>
      </c>
    </row>
    <row r="2232" spans="1:3" x14ac:dyDescent="0.35">
      <c r="A2232" t="s">
        <v>47</v>
      </c>
      <c r="B2232">
        <v>2019</v>
      </c>
      <c r="C2232">
        <v>722.96561142147664</v>
      </c>
    </row>
    <row r="2233" spans="1:3" x14ac:dyDescent="0.35">
      <c r="A2233" t="s">
        <v>47</v>
      </c>
      <c r="B2233">
        <v>2020</v>
      </c>
      <c r="C2233">
        <v>936.69880822327059</v>
      </c>
    </row>
    <row r="2234" spans="1:3" x14ac:dyDescent="0.35">
      <c r="A2234" t="s">
        <v>47</v>
      </c>
      <c r="B2234">
        <v>2021</v>
      </c>
      <c r="C2234">
        <v>369.44303916384104</v>
      </c>
    </row>
    <row r="2235" spans="1:3" x14ac:dyDescent="0.35">
      <c r="A2235" t="s">
        <v>48</v>
      </c>
      <c r="B2235">
        <v>1977</v>
      </c>
      <c r="C2235">
        <v>5.3906263476565872</v>
      </c>
    </row>
    <row r="2236" spans="1:3" x14ac:dyDescent="0.35">
      <c r="A2236" t="s">
        <v>48</v>
      </c>
      <c r="B2236">
        <v>1978</v>
      </c>
      <c r="C2236">
        <v>8.259877064969265</v>
      </c>
    </row>
    <row r="2237" spans="1:3" x14ac:dyDescent="0.35">
      <c r="A2237" t="s">
        <v>48</v>
      </c>
      <c r="B2237">
        <v>1979</v>
      </c>
      <c r="C2237">
        <v>10.183559476263902</v>
      </c>
    </row>
    <row r="2238" spans="1:3" x14ac:dyDescent="0.35">
      <c r="A2238" t="s">
        <v>48</v>
      </c>
      <c r="B2238">
        <v>1980</v>
      </c>
      <c r="C2238">
        <v>13.135761887029881</v>
      </c>
    </row>
    <row r="2239" spans="1:3" x14ac:dyDescent="0.35">
      <c r="A2239" t="s">
        <v>48</v>
      </c>
      <c r="B2239">
        <v>1981</v>
      </c>
      <c r="C2239">
        <v>12.379584296982234</v>
      </c>
    </row>
    <row r="2240" spans="1:3" x14ac:dyDescent="0.35">
      <c r="A2240" t="s">
        <v>48</v>
      </c>
      <c r="B2240">
        <v>1982</v>
      </c>
      <c r="C2240">
        <v>11.074579580409276</v>
      </c>
    </row>
    <row r="2241" spans="1:3" x14ac:dyDescent="0.35">
      <c r="A2241" t="s">
        <v>48</v>
      </c>
      <c r="B2241">
        <v>1983</v>
      </c>
      <c r="C2241">
        <v>11.735930347365587</v>
      </c>
    </row>
    <row r="2242" spans="1:3" x14ac:dyDescent="0.35">
      <c r="A2242" t="s">
        <v>48</v>
      </c>
      <c r="B2242">
        <v>1984</v>
      </c>
      <c r="C2242">
        <v>9.1169133994902669</v>
      </c>
    </row>
    <row r="2243" spans="1:3" x14ac:dyDescent="0.35">
      <c r="A2243" t="s">
        <v>48</v>
      </c>
      <c r="B2243">
        <v>1985</v>
      </c>
      <c r="C2243">
        <v>6.6466629478343808</v>
      </c>
    </row>
    <row r="2244" spans="1:3" x14ac:dyDescent="0.35">
      <c r="A2244" t="s">
        <v>48</v>
      </c>
      <c r="B2244">
        <v>1986</v>
      </c>
      <c r="C2244">
        <v>7.3412602897992594</v>
      </c>
    </row>
    <row r="2245" spans="1:3" x14ac:dyDescent="0.35">
      <c r="A2245" t="s">
        <v>48</v>
      </c>
      <c r="B2245">
        <v>1987</v>
      </c>
      <c r="C2245">
        <v>8.3495822753102864</v>
      </c>
    </row>
    <row r="2246" spans="1:3" x14ac:dyDescent="0.35">
      <c r="A2246" t="s">
        <v>48</v>
      </c>
      <c r="B2246">
        <v>1988</v>
      </c>
      <c r="C2246">
        <v>8.7201502548966978</v>
      </c>
    </row>
    <row r="2247" spans="1:3" x14ac:dyDescent="0.35">
      <c r="A2247" t="s">
        <v>48</v>
      </c>
      <c r="B2247">
        <v>1989</v>
      </c>
      <c r="C2247">
        <v>8.7315265301142357</v>
      </c>
    </row>
    <row r="2248" spans="1:3" x14ac:dyDescent="0.35">
      <c r="A2248" t="s">
        <v>48</v>
      </c>
      <c r="B2248">
        <v>1990</v>
      </c>
      <c r="C2248">
        <v>14.223211663033563</v>
      </c>
    </row>
    <row r="2249" spans="1:3" x14ac:dyDescent="0.35">
      <c r="A2249" t="s">
        <v>48</v>
      </c>
      <c r="B2249">
        <v>1991</v>
      </c>
      <c r="C2249">
        <v>16.006837309692468</v>
      </c>
    </row>
    <row r="2250" spans="1:3" x14ac:dyDescent="0.35">
      <c r="A2250" t="s">
        <v>48</v>
      </c>
      <c r="B2250">
        <v>1992</v>
      </c>
      <c r="C2250">
        <v>20.976434163975583</v>
      </c>
    </row>
    <row r="2251" spans="1:3" x14ac:dyDescent="0.35">
      <c r="A2251" t="s">
        <v>48</v>
      </c>
      <c r="B2251">
        <v>1993</v>
      </c>
      <c r="C2251">
        <v>23.724347714322437</v>
      </c>
    </row>
    <row r="2252" spans="1:3" x14ac:dyDescent="0.35">
      <c r="A2252" t="s">
        <v>48</v>
      </c>
      <c r="B2252">
        <v>1994</v>
      </c>
      <c r="C2252">
        <v>25.804044159062748</v>
      </c>
    </row>
    <row r="2253" spans="1:3" x14ac:dyDescent="0.35">
      <c r="A2253" t="s">
        <v>48</v>
      </c>
      <c r="B2253">
        <v>1995</v>
      </c>
      <c r="C2253">
        <v>28.769619722697808</v>
      </c>
    </row>
    <row r="2254" spans="1:3" x14ac:dyDescent="0.35">
      <c r="A2254" t="s">
        <v>48</v>
      </c>
      <c r="B2254">
        <v>1996</v>
      </c>
      <c r="C2254">
        <v>26.486561922151026</v>
      </c>
    </row>
    <row r="2255" spans="1:3" x14ac:dyDescent="0.35">
      <c r="A2255" t="s">
        <v>48</v>
      </c>
      <c r="B2255">
        <v>1997</v>
      </c>
      <c r="C2255">
        <v>25.662115122527105</v>
      </c>
    </row>
    <row r="2256" spans="1:3" x14ac:dyDescent="0.35">
      <c r="A2256" t="s">
        <v>48</v>
      </c>
      <c r="B2256">
        <v>1998</v>
      </c>
      <c r="C2256">
        <v>25.731330540421254</v>
      </c>
    </row>
    <row r="2257" spans="1:3" x14ac:dyDescent="0.35">
      <c r="A2257" t="s">
        <v>48</v>
      </c>
      <c r="B2257">
        <v>1999</v>
      </c>
      <c r="C2257">
        <v>25.853264107583627</v>
      </c>
    </row>
    <row r="2258" spans="1:3" x14ac:dyDescent="0.35">
      <c r="A2258" t="s">
        <v>48</v>
      </c>
      <c r="B2258">
        <v>2000</v>
      </c>
      <c r="C2258">
        <v>24.471060530301177</v>
      </c>
    </row>
    <row r="2259" spans="1:3" x14ac:dyDescent="0.35">
      <c r="A2259" t="s">
        <v>48</v>
      </c>
      <c r="B2259">
        <v>2001</v>
      </c>
      <c r="C2259">
        <v>19.665055208509987</v>
      </c>
    </row>
    <row r="2260" spans="1:3" x14ac:dyDescent="0.35">
      <c r="A2260" t="s">
        <v>48</v>
      </c>
      <c r="B2260">
        <v>2002</v>
      </c>
      <c r="C2260">
        <v>18.338440521028016</v>
      </c>
    </row>
    <row r="2261" spans="1:3" x14ac:dyDescent="0.35">
      <c r="A2261" t="s">
        <v>48</v>
      </c>
      <c r="B2261">
        <v>2003</v>
      </c>
      <c r="C2261">
        <v>31.927690934928449</v>
      </c>
    </row>
    <row r="2262" spans="1:3" x14ac:dyDescent="0.35">
      <c r="A2262" t="s">
        <v>48</v>
      </c>
      <c r="B2262">
        <v>2004</v>
      </c>
      <c r="C2262">
        <v>42.695547309545816</v>
      </c>
    </row>
    <row r="2263" spans="1:3" x14ac:dyDescent="0.35">
      <c r="A2263" t="s">
        <v>48</v>
      </c>
      <c r="B2263">
        <v>2005</v>
      </c>
      <c r="C2263">
        <v>59.471673902753906</v>
      </c>
    </row>
    <row r="2264" spans="1:3" x14ac:dyDescent="0.35">
      <c r="A2264" t="s">
        <v>48</v>
      </c>
      <c r="B2264">
        <v>2006</v>
      </c>
      <c r="C2264">
        <v>58.520575052979005</v>
      </c>
    </row>
    <row r="2265" spans="1:3" x14ac:dyDescent="0.35">
      <c r="A2265" t="s">
        <v>48</v>
      </c>
      <c r="B2265">
        <v>2007</v>
      </c>
      <c r="C2265">
        <v>61.877516723749075</v>
      </c>
    </row>
    <row r="2266" spans="1:3" x14ac:dyDescent="0.35">
      <c r="A2266" t="s">
        <v>48</v>
      </c>
      <c r="B2266">
        <v>2008</v>
      </c>
      <c r="C2266">
        <v>66.657830199413652</v>
      </c>
    </row>
    <row r="2267" spans="1:3" x14ac:dyDescent="0.35">
      <c r="A2267" t="s">
        <v>48</v>
      </c>
      <c r="B2267">
        <v>2009</v>
      </c>
      <c r="C2267">
        <v>75.911617988427679</v>
      </c>
    </row>
    <row r="2268" spans="1:3" x14ac:dyDescent="0.35">
      <c r="A2268" t="s">
        <v>48</v>
      </c>
      <c r="B2268">
        <v>2010</v>
      </c>
      <c r="C2268">
        <v>102.03217496537462</v>
      </c>
    </row>
    <row r="2269" spans="1:3" x14ac:dyDescent="0.35">
      <c r="A2269" t="s">
        <v>48</v>
      </c>
      <c r="B2269">
        <v>2011</v>
      </c>
      <c r="C2269">
        <v>106.62940892120098</v>
      </c>
    </row>
    <row r="2270" spans="1:3" x14ac:dyDescent="0.35">
      <c r="A2270" t="s">
        <v>48</v>
      </c>
      <c r="B2270">
        <v>2012</v>
      </c>
      <c r="C2270">
        <v>90.639795273307939</v>
      </c>
    </row>
    <row r="2271" spans="1:3" x14ac:dyDescent="0.35">
      <c r="A2271" t="s">
        <v>48</v>
      </c>
      <c r="B2271">
        <v>2013</v>
      </c>
      <c r="C2271">
        <v>86.040376755815075</v>
      </c>
    </row>
    <row r="2272" spans="1:3" x14ac:dyDescent="0.35">
      <c r="A2272" t="s">
        <v>48</v>
      </c>
      <c r="B2272">
        <v>2014</v>
      </c>
      <c r="C2272">
        <v>81.355664003534002</v>
      </c>
    </row>
    <row r="2273" spans="1:3" x14ac:dyDescent="0.35">
      <c r="A2273" t="s">
        <v>48</v>
      </c>
      <c r="B2273">
        <v>2015</v>
      </c>
      <c r="C2273">
        <v>73.527455742424152</v>
      </c>
    </row>
    <row r="2274" spans="1:3" x14ac:dyDescent="0.35">
      <c r="A2274" t="s">
        <v>48</v>
      </c>
      <c r="B2274">
        <v>2016</v>
      </c>
      <c r="C2274">
        <v>80.527779902858441</v>
      </c>
    </row>
    <row r="2275" spans="1:3" x14ac:dyDescent="0.35">
      <c r="A2275" t="s">
        <v>48</v>
      </c>
      <c r="B2275">
        <v>2017</v>
      </c>
      <c r="C2275">
        <v>87.762823128234913</v>
      </c>
    </row>
    <row r="2276" spans="1:3" x14ac:dyDescent="0.35">
      <c r="A2276" t="s">
        <v>48</v>
      </c>
      <c r="B2276">
        <v>2018</v>
      </c>
      <c r="C2276">
        <v>95.863380323095569</v>
      </c>
    </row>
    <row r="2277" spans="1:3" x14ac:dyDescent="0.35">
      <c r="A2277" t="s">
        <v>48</v>
      </c>
      <c r="B2277">
        <v>2019</v>
      </c>
      <c r="C2277">
        <v>86.532285971347491</v>
      </c>
    </row>
    <row r="2278" spans="1:3" x14ac:dyDescent="0.35">
      <c r="A2278" t="s">
        <v>48</v>
      </c>
      <c r="B2278">
        <v>2020</v>
      </c>
      <c r="C2278">
        <v>76.795299975710464</v>
      </c>
    </row>
    <row r="2279" spans="1:3" x14ac:dyDescent="0.35">
      <c r="A2279" t="s">
        <v>48</v>
      </c>
      <c r="B2279">
        <v>2021</v>
      </c>
      <c r="C2279">
        <v>82.792515395547142</v>
      </c>
    </row>
    <row r="2280" spans="1:3" x14ac:dyDescent="0.35">
      <c r="A2280" t="s">
        <v>48</v>
      </c>
      <c r="B2280">
        <v>2022</v>
      </c>
      <c r="C2280">
        <v>83.20058048067726</v>
      </c>
    </row>
    <row r="2281" spans="1:3" x14ac:dyDescent="0.35">
      <c r="A2281" t="s">
        <v>48</v>
      </c>
      <c r="B2281">
        <v>2023</v>
      </c>
      <c r="C2281">
        <v>83.071859893176168</v>
      </c>
    </row>
    <row r="2282" spans="1:3" x14ac:dyDescent="0.35">
      <c r="A2282" t="s">
        <v>48</v>
      </c>
      <c r="B2282">
        <v>2024</v>
      </c>
      <c r="C2282">
        <v>83.157552263367535</v>
      </c>
    </row>
    <row r="2283" spans="1:3" x14ac:dyDescent="0.35">
      <c r="A2283" t="s">
        <v>48</v>
      </c>
      <c r="B2283">
        <v>2025</v>
      </c>
      <c r="C2283">
        <v>93.361425000978485</v>
      </c>
    </row>
    <row r="2284" spans="1:3" x14ac:dyDescent="0.35">
      <c r="A2284" t="s">
        <v>49</v>
      </c>
      <c r="B2284">
        <v>1967</v>
      </c>
      <c r="C2284">
        <v>14.629994148002341</v>
      </c>
    </row>
    <row r="2285" spans="1:3" x14ac:dyDescent="0.35">
      <c r="A2285" t="s">
        <v>49</v>
      </c>
      <c r="B2285">
        <v>1968</v>
      </c>
      <c r="C2285">
        <v>16.239993504002598</v>
      </c>
    </row>
    <row r="2286" spans="1:3" x14ac:dyDescent="0.35">
      <c r="A2286" t="s">
        <v>49</v>
      </c>
      <c r="B2286">
        <v>1969</v>
      </c>
      <c r="C2286">
        <v>20.089991964003218</v>
      </c>
    </row>
    <row r="2287" spans="1:3" x14ac:dyDescent="0.35">
      <c r="A2287" t="s">
        <v>49</v>
      </c>
      <c r="B2287">
        <v>1970</v>
      </c>
      <c r="C2287">
        <v>29.539988184004727</v>
      </c>
    </row>
    <row r="2288" spans="1:3" x14ac:dyDescent="0.35">
      <c r="A2288" t="s">
        <v>49</v>
      </c>
      <c r="B2288">
        <v>1971</v>
      </c>
      <c r="C2288">
        <v>42.559982976006815</v>
      </c>
    </row>
    <row r="2289" spans="1:3" x14ac:dyDescent="0.35">
      <c r="A2289" t="s">
        <v>49</v>
      </c>
      <c r="B2289">
        <v>1972</v>
      </c>
      <c r="C2289">
        <v>53.689677861932829</v>
      </c>
    </row>
    <row r="2290" spans="1:3" x14ac:dyDescent="0.35">
      <c r="A2290" t="s">
        <v>49</v>
      </c>
      <c r="B2290">
        <v>1973</v>
      </c>
      <c r="C2290">
        <v>77.916010244459699</v>
      </c>
    </row>
    <row r="2291" spans="1:3" x14ac:dyDescent="0.35">
      <c r="A2291" t="s">
        <v>49</v>
      </c>
      <c r="B2291">
        <v>1974</v>
      </c>
      <c r="C2291">
        <v>120.04473821417159</v>
      </c>
    </row>
    <row r="2292" spans="1:3" x14ac:dyDescent="0.35">
      <c r="A2292" t="s">
        <v>49</v>
      </c>
      <c r="B2292">
        <v>1975</v>
      </c>
      <c r="C2292">
        <v>138.32347603230173</v>
      </c>
    </row>
    <row r="2293" spans="1:3" x14ac:dyDescent="0.35">
      <c r="A2293" t="s">
        <v>49</v>
      </c>
      <c r="B2293">
        <v>1976</v>
      </c>
      <c r="C2293">
        <v>136.68752991904995</v>
      </c>
    </row>
    <row r="2294" spans="1:3" x14ac:dyDescent="0.35">
      <c r="A2294" t="s">
        <v>49</v>
      </c>
      <c r="B2294">
        <v>1977</v>
      </c>
      <c r="C2294">
        <v>190.72987655035882</v>
      </c>
    </row>
    <row r="2295" spans="1:3" x14ac:dyDescent="0.35">
      <c r="A2295" t="s">
        <v>49</v>
      </c>
      <c r="B2295">
        <v>1978</v>
      </c>
      <c r="C2295">
        <v>421.6777640186462</v>
      </c>
    </row>
    <row r="2296" spans="1:3" x14ac:dyDescent="0.35">
      <c r="A2296" t="s">
        <v>49</v>
      </c>
      <c r="B2296">
        <v>1979</v>
      </c>
      <c r="C2296">
        <v>375.45852187395786</v>
      </c>
    </row>
    <row r="2297" spans="1:3" x14ac:dyDescent="0.35">
      <c r="A2297" t="s">
        <v>49</v>
      </c>
      <c r="B2297">
        <v>1980</v>
      </c>
      <c r="C2297">
        <v>232.2917213133754</v>
      </c>
    </row>
    <row r="2298" spans="1:3" x14ac:dyDescent="0.35">
      <c r="A2298" t="s">
        <v>49</v>
      </c>
      <c r="B2298">
        <v>1981</v>
      </c>
      <c r="C2298">
        <v>331.01909697700614</v>
      </c>
    </row>
    <row r="2299" spans="1:3" x14ac:dyDescent="0.35">
      <c r="A2299" t="s">
        <v>49</v>
      </c>
      <c r="B2299">
        <v>1982</v>
      </c>
      <c r="C2299">
        <v>366.7618627990679</v>
      </c>
    </row>
    <row r="2300" spans="1:3" x14ac:dyDescent="0.35">
      <c r="A2300" t="s">
        <v>49</v>
      </c>
      <c r="B2300">
        <v>1983</v>
      </c>
      <c r="C2300">
        <v>332.95042538679689</v>
      </c>
    </row>
    <row r="2301" spans="1:3" x14ac:dyDescent="0.35">
      <c r="A2301" t="s">
        <v>49</v>
      </c>
      <c r="B2301">
        <v>1984</v>
      </c>
      <c r="C2301">
        <v>293.02520239076131</v>
      </c>
    </row>
    <row r="2302" spans="1:3" x14ac:dyDescent="0.35">
      <c r="A2302" t="s">
        <v>49</v>
      </c>
      <c r="B2302">
        <v>1985</v>
      </c>
      <c r="C2302">
        <v>345.97620233169073</v>
      </c>
    </row>
    <row r="2303" spans="1:3" x14ac:dyDescent="0.35">
      <c r="A2303" t="s">
        <v>49</v>
      </c>
      <c r="B2303">
        <v>1986</v>
      </c>
      <c r="C2303">
        <v>260.70401859440943</v>
      </c>
    </row>
    <row r="2304" spans="1:3" x14ac:dyDescent="0.35">
      <c r="A2304" t="s">
        <v>49</v>
      </c>
      <c r="B2304">
        <v>1987</v>
      </c>
      <c r="C2304">
        <v>161.60808211589094</v>
      </c>
    </row>
    <row r="2305" spans="1:3" x14ac:dyDescent="0.35">
      <c r="A2305" t="s">
        <v>49</v>
      </c>
      <c r="B2305">
        <v>1988</v>
      </c>
      <c r="C2305">
        <v>124.83369774634639</v>
      </c>
    </row>
    <row r="2306" spans="1:3" x14ac:dyDescent="0.35">
      <c r="A2306" t="s">
        <v>49</v>
      </c>
      <c r="B2306">
        <v>1989</v>
      </c>
      <c r="C2306">
        <v>105.31675233824113</v>
      </c>
    </row>
    <row r="2307" spans="1:3" x14ac:dyDescent="0.35">
      <c r="A2307" t="s">
        <v>49</v>
      </c>
      <c r="B2307">
        <v>1990</v>
      </c>
      <c r="C2307">
        <v>87.154458206873926</v>
      </c>
    </row>
    <row r="2308" spans="1:3" x14ac:dyDescent="0.35">
      <c r="A2308" t="s">
        <v>49</v>
      </c>
      <c r="B2308">
        <v>1991</v>
      </c>
      <c r="C2308">
        <v>108.14165187513973</v>
      </c>
    </row>
    <row r="2309" spans="1:3" x14ac:dyDescent="0.35">
      <c r="A2309" t="s">
        <v>49</v>
      </c>
      <c r="B2309">
        <v>1992</v>
      </c>
      <c r="C2309">
        <v>96.90703642495329</v>
      </c>
    </row>
    <row r="2310" spans="1:3" x14ac:dyDescent="0.35">
      <c r="A2310" t="s">
        <v>49</v>
      </c>
      <c r="B2310">
        <v>1993</v>
      </c>
      <c r="C2310">
        <v>58.725701624086419</v>
      </c>
    </row>
    <row r="2311" spans="1:3" x14ac:dyDescent="0.35">
      <c r="A2311" t="s">
        <v>49</v>
      </c>
      <c r="B2311">
        <v>1994</v>
      </c>
      <c r="C2311">
        <v>58.375569774994069</v>
      </c>
    </row>
    <row r="2312" spans="1:3" x14ac:dyDescent="0.35">
      <c r="A2312" t="s">
        <v>49</v>
      </c>
      <c r="B2312">
        <v>1995</v>
      </c>
      <c r="C2312">
        <v>85.513656087215239</v>
      </c>
    </row>
    <row r="2313" spans="1:3" x14ac:dyDescent="0.35">
      <c r="A2313" t="s">
        <v>49</v>
      </c>
      <c r="B2313">
        <v>1996</v>
      </c>
      <c r="C2313">
        <v>101.03848945734056</v>
      </c>
    </row>
    <row r="2314" spans="1:3" x14ac:dyDescent="0.35">
      <c r="A2314" t="s">
        <v>49</v>
      </c>
      <c r="B2314">
        <v>1997</v>
      </c>
      <c r="C2314">
        <v>118.60380773767322</v>
      </c>
    </row>
    <row r="2315" spans="1:3" x14ac:dyDescent="0.35">
      <c r="A2315" t="s">
        <v>49</v>
      </c>
      <c r="B2315">
        <v>1998</v>
      </c>
      <c r="C2315">
        <v>134.27695807399448</v>
      </c>
    </row>
    <row r="2316" spans="1:3" x14ac:dyDescent="0.35">
      <c r="A2316" t="s">
        <v>49</v>
      </c>
      <c r="B2316">
        <v>1999</v>
      </c>
      <c r="C2316">
        <v>128.49794363008704</v>
      </c>
    </row>
    <row r="2317" spans="1:3" x14ac:dyDescent="0.35">
      <c r="A2317" t="s">
        <v>49</v>
      </c>
      <c r="B2317">
        <v>2000</v>
      </c>
      <c r="C2317">
        <v>135.05595264421063</v>
      </c>
    </row>
    <row r="2318" spans="1:3" x14ac:dyDescent="0.35">
      <c r="A2318" t="s">
        <v>49</v>
      </c>
      <c r="B2318">
        <v>2001</v>
      </c>
      <c r="C2318">
        <v>150.72819632775452</v>
      </c>
    </row>
    <row r="2319" spans="1:3" x14ac:dyDescent="0.35">
      <c r="A2319" t="s">
        <v>49</v>
      </c>
      <c r="B2319">
        <v>2002</v>
      </c>
      <c r="C2319">
        <v>140.75356177379493</v>
      </c>
    </row>
    <row r="2320" spans="1:3" x14ac:dyDescent="0.35">
      <c r="A2320" t="s">
        <v>49</v>
      </c>
      <c r="B2320">
        <v>2003</v>
      </c>
      <c r="C2320">
        <v>125.25471389225939</v>
      </c>
    </row>
    <row r="2321" spans="1:3" x14ac:dyDescent="0.35">
      <c r="A2321" t="s">
        <v>49</v>
      </c>
      <c r="B2321">
        <v>2004</v>
      </c>
      <c r="C2321">
        <v>127.5678628147577</v>
      </c>
    </row>
    <row r="2322" spans="1:3" x14ac:dyDescent="0.35">
      <c r="A2322" t="s">
        <v>49</v>
      </c>
      <c r="B2322">
        <v>2005</v>
      </c>
      <c r="C2322">
        <v>139.49359127669564</v>
      </c>
    </row>
    <row r="2323" spans="1:3" x14ac:dyDescent="0.35">
      <c r="A2323" t="s">
        <v>49</v>
      </c>
      <c r="B2323">
        <v>2006</v>
      </c>
      <c r="C2323">
        <v>147.41792475437333</v>
      </c>
    </row>
    <row r="2324" spans="1:3" x14ac:dyDescent="0.35">
      <c r="A2324" t="s">
        <v>49</v>
      </c>
      <c r="B2324">
        <v>2007</v>
      </c>
      <c r="C2324">
        <v>166.21554327571806</v>
      </c>
    </row>
    <row r="2325" spans="1:3" x14ac:dyDescent="0.35">
      <c r="A2325" t="s">
        <v>49</v>
      </c>
      <c r="B2325">
        <v>2008</v>
      </c>
      <c r="C2325">
        <v>194.00030092534544</v>
      </c>
    </row>
    <row r="2326" spans="1:3" x14ac:dyDescent="0.35">
      <c r="A2326" t="s">
        <v>49</v>
      </c>
      <c r="B2326">
        <v>2009</v>
      </c>
      <c r="C2326">
        <v>219.47686528163842</v>
      </c>
    </row>
    <row r="2327" spans="1:3" x14ac:dyDescent="0.35">
      <c r="A2327" t="s">
        <v>49</v>
      </c>
      <c r="B2327">
        <v>2010</v>
      </c>
      <c r="C2327">
        <v>282.72509881002225</v>
      </c>
    </row>
    <row r="2328" spans="1:3" x14ac:dyDescent="0.35">
      <c r="A2328" t="s">
        <v>49</v>
      </c>
      <c r="B2328">
        <v>2011</v>
      </c>
      <c r="C2328">
        <v>307.47398417423608</v>
      </c>
    </row>
    <row r="2329" spans="1:3" x14ac:dyDescent="0.35">
      <c r="A2329" t="s">
        <v>49</v>
      </c>
      <c r="B2329">
        <v>2012</v>
      </c>
      <c r="C2329">
        <v>359.73941882501578</v>
      </c>
    </row>
    <row r="2330" spans="1:3" x14ac:dyDescent="0.35">
      <c r="A2330" t="s">
        <v>49</v>
      </c>
      <c r="B2330">
        <v>2013</v>
      </c>
      <c r="C2330">
        <v>443.37994551498338</v>
      </c>
    </row>
    <row r="2331" spans="1:3" x14ac:dyDescent="0.35">
      <c r="A2331" t="s">
        <v>49</v>
      </c>
      <c r="B2331">
        <v>2014</v>
      </c>
      <c r="C2331">
        <v>507.2857989940747</v>
      </c>
    </row>
    <row r="2332" spans="1:3" x14ac:dyDescent="0.35">
      <c r="A2332" t="s">
        <v>49</v>
      </c>
      <c r="B2332">
        <v>2015</v>
      </c>
      <c r="C2332">
        <v>517.07576179918817</v>
      </c>
    </row>
    <row r="2333" spans="1:3" x14ac:dyDescent="0.35">
      <c r="A2333" t="s">
        <v>49</v>
      </c>
      <c r="B2333">
        <v>2016</v>
      </c>
      <c r="C2333">
        <v>544.3742861254965</v>
      </c>
    </row>
    <row r="2334" spans="1:3" x14ac:dyDescent="0.35">
      <c r="A2334" t="s">
        <v>49</v>
      </c>
      <c r="B2334">
        <v>2017</v>
      </c>
      <c r="C2334">
        <v>562.48569894579896</v>
      </c>
    </row>
    <row r="2335" spans="1:3" x14ac:dyDescent="0.35">
      <c r="A2335" t="s">
        <v>49</v>
      </c>
      <c r="B2335">
        <v>2018</v>
      </c>
      <c r="C2335">
        <v>603.01751714866668</v>
      </c>
    </row>
    <row r="2336" spans="1:3" x14ac:dyDescent="0.35">
      <c r="A2336" t="s">
        <v>49</v>
      </c>
      <c r="B2336">
        <v>2019</v>
      </c>
      <c r="C2336">
        <v>623.91654599963476</v>
      </c>
    </row>
    <row r="2337" spans="1:3" x14ac:dyDescent="0.35">
      <c r="A2337" t="s">
        <v>49</v>
      </c>
      <c r="B2337">
        <v>2020</v>
      </c>
      <c r="C2337">
        <v>682.59905745552987</v>
      </c>
    </row>
    <row r="2338" spans="1:3" x14ac:dyDescent="0.35">
      <c r="A2338" t="s">
        <v>49</v>
      </c>
      <c r="B2338">
        <v>2021</v>
      </c>
      <c r="C2338">
        <v>762.84241001953194</v>
      </c>
    </row>
    <row r="2339" spans="1:3" x14ac:dyDescent="0.35">
      <c r="A2339" t="s">
        <v>49</v>
      </c>
      <c r="B2339">
        <v>2022</v>
      </c>
      <c r="C2339">
        <v>883.63883737279673</v>
      </c>
    </row>
    <row r="2340" spans="1:3" x14ac:dyDescent="0.35">
      <c r="A2340" t="s">
        <v>49</v>
      </c>
      <c r="B2340">
        <v>2023</v>
      </c>
      <c r="C2340">
        <v>961.32776477522157</v>
      </c>
    </row>
    <row r="2341" spans="1:3" x14ac:dyDescent="0.35">
      <c r="A2341" t="s">
        <v>49</v>
      </c>
      <c r="B2341">
        <v>2024</v>
      </c>
      <c r="C2341">
        <v>929.49482763404853</v>
      </c>
    </row>
    <row r="2342" spans="1:3" x14ac:dyDescent="0.35">
      <c r="A2342" t="s">
        <v>49</v>
      </c>
      <c r="B2342">
        <v>2025</v>
      </c>
      <c r="C2342">
        <v>1030.4617583207084</v>
      </c>
    </row>
    <row r="2343" spans="1:3" x14ac:dyDescent="0.35">
      <c r="A2343" t="s">
        <v>50</v>
      </c>
      <c r="B2343">
        <v>1961</v>
      </c>
      <c r="C2343">
        <v>0.32699991845388571</v>
      </c>
    </row>
    <row r="2344" spans="1:3" x14ac:dyDescent="0.35">
      <c r="A2344" t="s">
        <v>50</v>
      </c>
      <c r="B2344">
        <v>1962</v>
      </c>
      <c r="C2344">
        <v>0.71424490029141185</v>
      </c>
    </row>
    <row r="2345" spans="1:3" x14ac:dyDescent="0.35">
      <c r="A2345" t="s">
        <v>50</v>
      </c>
      <c r="B2345">
        <v>1963</v>
      </c>
      <c r="C2345">
        <v>1.1346197799327391</v>
      </c>
    </row>
    <row r="2346" spans="1:3" x14ac:dyDescent="0.35">
      <c r="A2346" t="s">
        <v>50</v>
      </c>
      <c r="B2346">
        <v>1964</v>
      </c>
      <c r="C2346">
        <v>3.3833006158504983</v>
      </c>
    </row>
    <row r="2347" spans="1:3" x14ac:dyDescent="0.35">
      <c r="A2347" t="s">
        <v>50</v>
      </c>
      <c r="B2347">
        <v>1965</v>
      </c>
      <c r="C2347">
        <v>3.3624281301390262</v>
      </c>
    </row>
    <row r="2348" spans="1:3" x14ac:dyDescent="0.35">
      <c r="A2348" t="s">
        <v>50</v>
      </c>
      <c r="B2348">
        <v>1966</v>
      </c>
      <c r="C2348">
        <v>2.8899616571284366</v>
      </c>
    </row>
    <row r="2349" spans="1:3" x14ac:dyDescent="0.35">
      <c r="A2349" t="s">
        <v>50</v>
      </c>
      <c r="B2349">
        <v>1967</v>
      </c>
      <c r="C2349">
        <v>3.1056784322014948</v>
      </c>
    </row>
    <row r="2350" spans="1:3" x14ac:dyDescent="0.35">
      <c r="A2350" t="s">
        <v>50</v>
      </c>
      <c r="B2350">
        <v>1968</v>
      </c>
      <c r="C2350">
        <v>3.2880253670753139</v>
      </c>
    </row>
    <row r="2351" spans="1:3" x14ac:dyDescent="0.35">
      <c r="A2351" t="s">
        <v>50</v>
      </c>
      <c r="B2351">
        <v>1969</v>
      </c>
      <c r="C2351">
        <v>3.4351306542135167</v>
      </c>
    </row>
    <row r="2352" spans="1:3" x14ac:dyDescent="0.35">
      <c r="A2352" t="s">
        <v>50</v>
      </c>
      <c r="B2352">
        <v>1970</v>
      </c>
      <c r="C2352">
        <v>3.6504668907356286</v>
      </c>
    </row>
    <row r="2353" spans="1:3" x14ac:dyDescent="0.35">
      <c r="A2353" t="s">
        <v>50</v>
      </c>
      <c r="B2353">
        <v>1971</v>
      </c>
      <c r="C2353">
        <v>4.183674951698892</v>
      </c>
    </row>
    <row r="2354" spans="1:3" x14ac:dyDescent="0.35">
      <c r="A2354" t="s">
        <v>50</v>
      </c>
      <c r="B2354">
        <v>1972</v>
      </c>
      <c r="C2354">
        <v>5.1264145253701976</v>
      </c>
    </row>
    <row r="2355" spans="1:3" x14ac:dyDescent="0.35">
      <c r="A2355" t="s">
        <v>50</v>
      </c>
      <c r="B2355">
        <v>1973</v>
      </c>
      <c r="C2355">
        <v>6.873376434009753</v>
      </c>
    </row>
    <row r="2356" spans="1:3" x14ac:dyDescent="0.35">
      <c r="A2356" t="s">
        <v>50</v>
      </c>
      <c r="B2356">
        <v>1974</v>
      </c>
      <c r="C2356">
        <v>8.0970482540869533</v>
      </c>
    </row>
    <row r="2357" spans="1:3" x14ac:dyDescent="0.35">
      <c r="A2357" t="s">
        <v>50</v>
      </c>
      <c r="B2357">
        <v>1975</v>
      </c>
      <c r="C2357">
        <v>11.114584742876076</v>
      </c>
    </row>
    <row r="2358" spans="1:3" x14ac:dyDescent="0.35">
      <c r="A2358" t="s">
        <v>50</v>
      </c>
      <c r="B2358">
        <v>1976</v>
      </c>
      <c r="C2358">
        <v>14.233103159656832</v>
      </c>
    </row>
    <row r="2359" spans="1:3" x14ac:dyDescent="0.35">
      <c r="A2359" t="s">
        <v>50</v>
      </c>
      <c r="B2359">
        <v>1977</v>
      </c>
      <c r="C2359">
        <v>21.108759361771408</v>
      </c>
    </row>
    <row r="2360" spans="1:3" x14ac:dyDescent="0.35">
      <c r="A2360" t="s">
        <v>50</v>
      </c>
      <c r="B2360">
        <v>1978</v>
      </c>
      <c r="C2360">
        <v>22.733718580494202</v>
      </c>
    </row>
    <row r="2361" spans="1:3" x14ac:dyDescent="0.35">
      <c r="A2361" t="s">
        <v>50</v>
      </c>
      <c r="B2361">
        <v>1979</v>
      </c>
      <c r="C2361">
        <v>22.498848262050938</v>
      </c>
    </row>
    <row r="2362" spans="1:3" x14ac:dyDescent="0.35">
      <c r="A2362" t="s">
        <v>50</v>
      </c>
      <c r="B2362">
        <v>1980</v>
      </c>
      <c r="C2362">
        <v>24.763347216963272</v>
      </c>
    </row>
    <row r="2363" spans="1:3" x14ac:dyDescent="0.35">
      <c r="A2363" t="s">
        <v>50</v>
      </c>
      <c r="B2363">
        <v>1981</v>
      </c>
      <c r="C2363">
        <v>22.525953976542979</v>
      </c>
    </row>
    <row r="2364" spans="1:3" x14ac:dyDescent="0.35">
      <c r="A2364" t="s">
        <v>50</v>
      </c>
      <c r="B2364">
        <v>1982</v>
      </c>
      <c r="C2364">
        <v>18.54196210659574</v>
      </c>
    </row>
    <row r="2365" spans="1:3" x14ac:dyDescent="0.35">
      <c r="A2365" t="s">
        <v>50</v>
      </c>
      <c r="B2365">
        <v>1983</v>
      </c>
      <c r="C2365">
        <v>16.398734077561368</v>
      </c>
    </row>
    <row r="2366" spans="1:3" x14ac:dyDescent="0.35">
      <c r="A2366" t="s">
        <v>50</v>
      </c>
      <c r="B2366">
        <v>1984</v>
      </c>
      <c r="C2366">
        <v>15.692619639918803</v>
      </c>
    </row>
    <row r="2367" spans="1:3" x14ac:dyDescent="0.35">
      <c r="A2367" t="s">
        <v>50</v>
      </c>
      <c r="B2367">
        <v>1985</v>
      </c>
      <c r="C2367">
        <v>18.879809821863809</v>
      </c>
    </row>
    <row r="2368" spans="1:3" x14ac:dyDescent="0.35">
      <c r="A2368" t="s">
        <v>50</v>
      </c>
      <c r="B2368">
        <v>1986</v>
      </c>
      <c r="C2368">
        <v>30.011030706947036</v>
      </c>
    </row>
    <row r="2369" spans="1:3" x14ac:dyDescent="0.35">
      <c r="A2369" t="s">
        <v>50</v>
      </c>
      <c r="B2369">
        <v>1987</v>
      </c>
      <c r="C2369">
        <v>43.412291997324793</v>
      </c>
    </row>
    <row r="2370" spans="1:3" x14ac:dyDescent="0.35">
      <c r="A2370" t="s">
        <v>50</v>
      </c>
      <c r="B2370">
        <v>1988</v>
      </c>
      <c r="C2370">
        <v>43.089092422980848</v>
      </c>
    </row>
    <row r="2371" spans="1:3" x14ac:dyDescent="0.35">
      <c r="A2371" t="s">
        <v>50</v>
      </c>
      <c r="B2371">
        <v>1989</v>
      </c>
      <c r="C2371">
        <v>41.861019159394125</v>
      </c>
    </row>
    <row r="2372" spans="1:3" x14ac:dyDescent="0.35">
      <c r="A2372" t="s">
        <v>50</v>
      </c>
      <c r="B2372">
        <v>1990</v>
      </c>
      <c r="C2372">
        <v>50.748351789616734</v>
      </c>
    </row>
    <row r="2373" spans="1:3" x14ac:dyDescent="0.35">
      <c r="A2373" t="s">
        <v>50</v>
      </c>
      <c r="B2373">
        <v>1991</v>
      </c>
      <c r="C2373">
        <v>45.904568124860418</v>
      </c>
    </row>
    <row r="2374" spans="1:3" x14ac:dyDescent="0.35">
      <c r="A2374" t="s">
        <v>50</v>
      </c>
      <c r="B2374">
        <v>1992</v>
      </c>
      <c r="C2374">
        <v>49.113686851132641</v>
      </c>
    </row>
    <row r="2375" spans="1:3" x14ac:dyDescent="0.35">
      <c r="A2375" t="s">
        <v>50</v>
      </c>
      <c r="B2375">
        <v>1993</v>
      </c>
      <c r="C2375">
        <v>50.147794733068935</v>
      </c>
    </row>
    <row r="2376" spans="1:3" x14ac:dyDescent="0.35">
      <c r="A2376" t="s">
        <v>50</v>
      </c>
      <c r="B2376">
        <v>1994</v>
      </c>
      <c r="C2376">
        <v>25.396024891706663</v>
      </c>
    </row>
    <row r="2377" spans="1:3" x14ac:dyDescent="0.35">
      <c r="A2377" t="s">
        <v>50</v>
      </c>
      <c r="B2377">
        <v>1995</v>
      </c>
      <c r="C2377">
        <v>30.852572784023973</v>
      </c>
    </row>
    <row r="2378" spans="1:3" x14ac:dyDescent="0.35">
      <c r="A2378" t="s">
        <v>50</v>
      </c>
      <c r="B2378">
        <v>2003</v>
      </c>
      <c r="C2378">
        <v>28.831211286992428</v>
      </c>
    </row>
    <row r="2379" spans="1:3" x14ac:dyDescent="0.35">
      <c r="A2379" t="s">
        <v>50</v>
      </c>
      <c r="B2379">
        <v>2004</v>
      </c>
      <c r="C2379">
        <v>31.71962103788675</v>
      </c>
    </row>
    <row r="2380" spans="1:3" x14ac:dyDescent="0.35">
      <c r="A2380" t="s">
        <v>50</v>
      </c>
      <c r="B2380">
        <v>2005</v>
      </c>
      <c r="C2380">
        <v>33.238035293136271</v>
      </c>
    </row>
    <row r="2381" spans="1:3" x14ac:dyDescent="0.35">
      <c r="A2381" t="s">
        <v>50</v>
      </c>
      <c r="B2381">
        <v>2008</v>
      </c>
      <c r="C2381">
        <v>57.00918926764998</v>
      </c>
    </row>
    <row r="2382" spans="1:3" x14ac:dyDescent="0.35">
      <c r="A2382" t="s">
        <v>50</v>
      </c>
      <c r="B2382">
        <v>2009</v>
      </c>
      <c r="C2382">
        <v>55.130817093264092</v>
      </c>
    </row>
    <row r="2383" spans="1:3" x14ac:dyDescent="0.35">
      <c r="A2383" t="s">
        <v>50</v>
      </c>
      <c r="B2383">
        <v>2010</v>
      </c>
      <c r="C2383">
        <v>56.832843035311555</v>
      </c>
    </row>
    <row r="2384" spans="1:3" x14ac:dyDescent="0.35">
      <c r="A2384" t="s">
        <v>50</v>
      </c>
      <c r="B2384">
        <v>2011</v>
      </c>
      <c r="C2384">
        <v>59.018874002365081</v>
      </c>
    </row>
    <row r="2385" spans="1:3" x14ac:dyDescent="0.35">
      <c r="A2385" t="s">
        <v>50</v>
      </c>
      <c r="B2385">
        <v>2012</v>
      </c>
      <c r="C2385">
        <v>62.931049680036516</v>
      </c>
    </row>
    <row r="2386" spans="1:3" x14ac:dyDescent="0.35">
      <c r="A2386" t="s">
        <v>50</v>
      </c>
      <c r="B2386">
        <v>2013</v>
      </c>
      <c r="C2386">
        <v>72.419237308719929</v>
      </c>
    </row>
    <row r="2387" spans="1:3" x14ac:dyDescent="0.35">
      <c r="A2387" t="s">
        <v>50</v>
      </c>
      <c r="B2387">
        <v>2014</v>
      </c>
      <c r="C2387">
        <v>83.080011561100648</v>
      </c>
    </row>
    <row r="2388" spans="1:3" x14ac:dyDescent="0.35">
      <c r="A2388" t="s">
        <v>50</v>
      </c>
      <c r="B2388">
        <v>2015</v>
      </c>
      <c r="C2388">
        <v>69.977174740045655</v>
      </c>
    </row>
    <row r="2389" spans="1:3" x14ac:dyDescent="0.35">
      <c r="A2389" t="s">
        <v>50</v>
      </c>
      <c r="B2389">
        <v>2016</v>
      </c>
      <c r="C2389">
        <v>82.019690412315626</v>
      </c>
    </row>
    <row r="2390" spans="1:3" x14ac:dyDescent="0.35">
      <c r="A2390" t="s">
        <v>50</v>
      </c>
      <c r="B2390">
        <v>2017</v>
      </c>
      <c r="C2390">
        <v>88.414114922170384</v>
      </c>
    </row>
    <row r="2391" spans="1:3" x14ac:dyDescent="0.35">
      <c r="A2391" t="s">
        <v>50</v>
      </c>
      <c r="B2391">
        <v>2018</v>
      </c>
      <c r="C2391">
        <v>104.37899464501641</v>
      </c>
    </row>
    <row r="2392" spans="1:3" x14ac:dyDescent="0.35">
      <c r="A2392" t="s">
        <v>50</v>
      </c>
      <c r="B2392">
        <v>2019</v>
      </c>
      <c r="C2392">
        <v>170.5668324350892</v>
      </c>
    </row>
    <row r="2393" spans="1:3" x14ac:dyDescent="0.35">
      <c r="A2393" t="s">
        <v>50</v>
      </c>
      <c r="B2393">
        <v>2020</v>
      </c>
      <c r="C2393">
        <v>163.92687716127685</v>
      </c>
    </row>
    <row r="2394" spans="1:3" x14ac:dyDescent="0.35">
      <c r="A2394" t="s">
        <v>50</v>
      </c>
      <c r="B2394">
        <v>2021</v>
      </c>
      <c r="C2394">
        <v>198.77324063523204</v>
      </c>
    </row>
    <row r="2395" spans="1:3" x14ac:dyDescent="0.35">
      <c r="A2395" t="s">
        <v>50</v>
      </c>
      <c r="B2395">
        <v>2022</v>
      </c>
      <c r="C2395">
        <v>336.60832329771301</v>
      </c>
    </row>
    <row r="2396" spans="1:3" x14ac:dyDescent="0.35">
      <c r="A2396" t="s">
        <v>50</v>
      </c>
      <c r="B2396">
        <v>2023</v>
      </c>
      <c r="C2396">
        <v>276.34907667881072</v>
      </c>
    </row>
    <row r="2397" spans="1:3" x14ac:dyDescent="0.35">
      <c r="A2397" t="s">
        <v>50</v>
      </c>
      <c r="B2397">
        <v>2024</v>
      </c>
      <c r="C2397">
        <v>212.94903513112322</v>
      </c>
    </row>
    <row r="2398" spans="1:3" x14ac:dyDescent="0.35">
      <c r="A2398" t="s">
        <v>50</v>
      </c>
      <c r="B2398">
        <v>2025</v>
      </c>
      <c r="C2398">
        <v>204.94754944110059</v>
      </c>
    </row>
    <row r="2399" spans="1:3" x14ac:dyDescent="0.35">
      <c r="A2399" t="s">
        <v>51</v>
      </c>
      <c r="B2399">
        <v>1962</v>
      </c>
      <c r="C2399">
        <v>0.72798544029119427</v>
      </c>
    </row>
    <row r="2400" spans="1:3" x14ac:dyDescent="0.35">
      <c r="A2400" t="s">
        <v>51</v>
      </c>
      <c r="B2400">
        <v>1963</v>
      </c>
      <c r="C2400">
        <v>2.7299454010919786</v>
      </c>
    </row>
    <row r="2401" spans="1:3" x14ac:dyDescent="0.35">
      <c r="A2401" t="s">
        <v>51</v>
      </c>
      <c r="B2401">
        <v>1964</v>
      </c>
      <c r="C2401">
        <v>5.4878902421951565</v>
      </c>
    </row>
    <row r="2402" spans="1:3" x14ac:dyDescent="0.35">
      <c r="A2402" t="s">
        <v>51</v>
      </c>
      <c r="B2402">
        <v>1965</v>
      </c>
      <c r="C2402">
        <v>10.737785244295114</v>
      </c>
    </row>
    <row r="2403" spans="1:3" x14ac:dyDescent="0.35">
      <c r="A2403" t="s">
        <v>51</v>
      </c>
      <c r="B2403">
        <v>1966</v>
      </c>
      <c r="C2403">
        <v>14.265714685706287</v>
      </c>
    </row>
    <row r="2404" spans="1:3" x14ac:dyDescent="0.35">
      <c r="A2404" t="s">
        <v>51</v>
      </c>
      <c r="B2404">
        <v>1967</v>
      </c>
      <c r="C2404">
        <v>16.841663166736666</v>
      </c>
    </row>
    <row r="2405" spans="1:3" x14ac:dyDescent="0.35">
      <c r="A2405" t="s">
        <v>51</v>
      </c>
      <c r="B2405">
        <v>1968</v>
      </c>
      <c r="C2405">
        <v>19.942601147977044</v>
      </c>
    </row>
    <row r="2406" spans="1:3" x14ac:dyDescent="0.35">
      <c r="A2406" t="s">
        <v>51</v>
      </c>
      <c r="B2406">
        <v>1969</v>
      </c>
      <c r="C2406">
        <v>22.86154276914462</v>
      </c>
    </row>
    <row r="2407" spans="1:3" x14ac:dyDescent="0.35">
      <c r="A2407" t="s">
        <v>51</v>
      </c>
      <c r="B2407">
        <v>1970</v>
      </c>
      <c r="C2407">
        <v>26.62746745065099</v>
      </c>
    </row>
    <row r="2408" spans="1:3" x14ac:dyDescent="0.35">
      <c r="A2408" t="s">
        <v>51</v>
      </c>
      <c r="B2408">
        <v>1971</v>
      </c>
      <c r="C2408">
        <v>52.687946241075181</v>
      </c>
    </row>
    <row r="2409" spans="1:3" x14ac:dyDescent="0.35">
      <c r="A2409" t="s">
        <v>51</v>
      </c>
      <c r="B2409">
        <v>1972</v>
      </c>
      <c r="C2409">
        <v>64.944701105977884</v>
      </c>
    </row>
    <row r="2410" spans="1:3" x14ac:dyDescent="0.35">
      <c r="A2410" t="s">
        <v>51</v>
      </c>
      <c r="B2410">
        <v>1973</v>
      </c>
      <c r="C2410">
        <v>64.872640266611597</v>
      </c>
    </row>
    <row r="2411" spans="1:3" x14ac:dyDescent="0.35">
      <c r="A2411" t="s">
        <v>51</v>
      </c>
      <c r="B2411">
        <v>1974</v>
      </c>
      <c r="C2411">
        <v>80.157512314408024</v>
      </c>
    </row>
    <row r="2412" spans="1:3" x14ac:dyDescent="0.35">
      <c r="A2412" t="s">
        <v>51</v>
      </c>
      <c r="B2412">
        <v>1975</v>
      </c>
      <c r="C2412">
        <v>86.567896177808436</v>
      </c>
    </row>
    <row r="2413" spans="1:3" x14ac:dyDescent="0.35">
      <c r="A2413" t="s">
        <v>51</v>
      </c>
      <c r="B2413">
        <v>1976</v>
      </c>
      <c r="C2413">
        <v>101.07462101553682</v>
      </c>
    </row>
    <row r="2414" spans="1:3" x14ac:dyDescent="0.35">
      <c r="A2414" t="s">
        <v>51</v>
      </c>
      <c r="B2414">
        <v>1977</v>
      </c>
      <c r="C2414">
        <v>131.91669693667515</v>
      </c>
    </row>
    <row r="2415" spans="1:3" x14ac:dyDescent="0.35">
      <c r="A2415" t="s">
        <v>51</v>
      </c>
      <c r="B2415">
        <v>1978</v>
      </c>
      <c r="C2415">
        <v>151.69985276000656</v>
      </c>
    </row>
    <row r="2416" spans="1:3" x14ac:dyDescent="0.35">
      <c r="A2416" t="s">
        <v>51</v>
      </c>
      <c r="B2416">
        <v>1979</v>
      </c>
      <c r="C2416">
        <v>206.80678299520366</v>
      </c>
    </row>
    <row r="2417" spans="1:3" x14ac:dyDescent="0.35">
      <c r="A2417" t="s">
        <v>51</v>
      </c>
      <c r="B2417">
        <v>1980</v>
      </c>
      <c r="C2417">
        <v>398.813536470271</v>
      </c>
    </row>
    <row r="2418" spans="1:3" x14ac:dyDescent="0.35">
      <c r="A2418" t="s">
        <v>51</v>
      </c>
      <c r="B2418">
        <v>1981</v>
      </c>
      <c r="C2418">
        <v>108.14687836522997</v>
      </c>
    </row>
    <row r="2419" spans="1:3" x14ac:dyDescent="0.35">
      <c r="A2419" t="s">
        <v>51</v>
      </c>
      <c r="B2419">
        <v>1982</v>
      </c>
      <c r="C2419">
        <v>87.488449887130542</v>
      </c>
    </row>
    <row r="2420" spans="1:3" x14ac:dyDescent="0.35">
      <c r="A2420" t="s">
        <v>51</v>
      </c>
      <c r="B2420">
        <v>1983</v>
      </c>
      <c r="C2420">
        <v>93.723596469563631</v>
      </c>
    </row>
    <row r="2421" spans="1:3" x14ac:dyDescent="0.35">
      <c r="A2421" t="s">
        <v>51</v>
      </c>
      <c r="B2421">
        <v>1984</v>
      </c>
      <c r="C2421">
        <v>75.215039115712443</v>
      </c>
    </row>
    <row r="2422" spans="1:3" x14ac:dyDescent="0.35">
      <c r="A2422" t="s">
        <v>51</v>
      </c>
      <c r="B2422">
        <v>1985</v>
      </c>
      <c r="C2422">
        <v>104.81830897889944</v>
      </c>
    </row>
    <row r="2423" spans="1:3" x14ac:dyDescent="0.35">
      <c r="A2423" t="s">
        <v>51</v>
      </c>
      <c r="B2423">
        <v>1986</v>
      </c>
      <c r="C2423">
        <v>131.07142857142856</v>
      </c>
    </row>
    <row r="2424" spans="1:3" x14ac:dyDescent="0.35">
      <c r="A2424" t="s">
        <v>51</v>
      </c>
      <c r="B2424">
        <v>1987</v>
      </c>
      <c r="C2424">
        <v>130.97174922329623</v>
      </c>
    </row>
    <row r="2425" spans="1:3" x14ac:dyDescent="0.35">
      <c r="A2425" t="s">
        <v>51</v>
      </c>
      <c r="B2425">
        <v>1988</v>
      </c>
      <c r="C2425">
        <v>140.90412301198461</v>
      </c>
    </row>
    <row r="2426" spans="1:3" x14ac:dyDescent="0.35">
      <c r="A2426" t="s">
        <v>51</v>
      </c>
      <c r="B2426">
        <v>1989</v>
      </c>
      <c r="C2426">
        <v>139.82123966793966</v>
      </c>
    </row>
    <row r="2427" spans="1:3" x14ac:dyDescent="0.35">
      <c r="A2427" t="s">
        <v>51</v>
      </c>
      <c r="B2427">
        <v>1990</v>
      </c>
      <c r="C2427">
        <v>107.00621422159004</v>
      </c>
    </row>
    <row r="2428" spans="1:3" x14ac:dyDescent="0.35">
      <c r="A2428" t="s">
        <v>51</v>
      </c>
      <c r="B2428">
        <v>1991</v>
      </c>
      <c r="C2428">
        <v>73.561599978201926</v>
      </c>
    </row>
    <row r="2429" spans="1:3" x14ac:dyDescent="0.35">
      <c r="A2429" t="s">
        <v>51</v>
      </c>
      <c r="B2429">
        <v>1992</v>
      </c>
      <c r="C2429">
        <v>52.331345968972421</v>
      </c>
    </row>
    <row r="2430" spans="1:3" x14ac:dyDescent="0.35">
      <c r="A2430" t="s">
        <v>51</v>
      </c>
      <c r="B2430">
        <v>1993</v>
      </c>
      <c r="C2430">
        <v>62.636650432628741</v>
      </c>
    </row>
    <row r="2431" spans="1:3" x14ac:dyDescent="0.35">
      <c r="A2431" t="s">
        <v>51</v>
      </c>
      <c r="B2431">
        <v>1994</v>
      </c>
      <c r="C2431">
        <v>104.12784791386959</v>
      </c>
    </row>
    <row r="2432" spans="1:3" x14ac:dyDescent="0.35">
      <c r="A2432" t="s">
        <v>51</v>
      </c>
      <c r="B2432">
        <v>1995</v>
      </c>
      <c r="C2432">
        <v>127.00262251565407</v>
      </c>
    </row>
    <row r="2433" spans="1:3" x14ac:dyDescent="0.35">
      <c r="A2433" t="s">
        <v>51</v>
      </c>
      <c r="B2433">
        <v>1996</v>
      </c>
      <c r="C2433">
        <v>135.39356454573266</v>
      </c>
    </row>
    <row r="2434" spans="1:3" x14ac:dyDescent="0.35">
      <c r="A2434" t="s">
        <v>51</v>
      </c>
      <c r="B2434">
        <v>1997</v>
      </c>
      <c r="C2434">
        <v>139.61597769180341</v>
      </c>
    </row>
    <row r="2435" spans="1:3" x14ac:dyDescent="0.35">
      <c r="A2435" t="s">
        <v>51</v>
      </c>
      <c r="B2435">
        <v>1998</v>
      </c>
      <c r="C2435">
        <v>154.71253154453322</v>
      </c>
    </row>
    <row r="2436" spans="1:3" x14ac:dyDescent="0.35">
      <c r="A2436" t="s">
        <v>51</v>
      </c>
      <c r="B2436">
        <v>1999</v>
      </c>
      <c r="C2436">
        <v>159.70457029343635</v>
      </c>
    </row>
    <row r="2437" spans="1:3" x14ac:dyDescent="0.35">
      <c r="A2437" t="s">
        <v>51</v>
      </c>
      <c r="B2437">
        <v>2000</v>
      </c>
      <c r="C2437">
        <v>141.30302588052152</v>
      </c>
    </row>
    <row r="2438" spans="1:3" x14ac:dyDescent="0.35">
      <c r="A2438" t="s">
        <v>51</v>
      </c>
      <c r="B2438">
        <v>2001</v>
      </c>
      <c r="C2438">
        <v>136.15734253784902</v>
      </c>
    </row>
    <row r="2439" spans="1:3" x14ac:dyDescent="0.35">
      <c r="A2439" t="s">
        <v>51</v>
      </c>
      <c r="B2439">
        <v>2002</v>
      </c>
      <c r="C2439">
        <v>142.19159411421103</v>
      </c>
    </row>
    <row r="2440" spans="1:3" x14ac:dyDescent="0.35">
      <c r="A2440" t="s">
        <v>51</v>
      </c>
      <c r="B2440">
        <v>2003</v>
      </c>
      <c r="C2440">
        <v>152.37992178110935</v>
      </c>
    </row>
    <row r="2441" spans="1:3" x14ac:dyDescent="0.35">
      <c r="A2441" t="s">
        <v>51</v>
      </c>
      <c r="B2441">
        <v>2004</v>
      </c>
      <c r="C2441">
        <v>196.01585372590179</v>
      </c>
    </row>
    <row r="2442" spans="1:3" x14ac:dyDescent="0.35">
      <c r="A2442" t="s">
        <v>51</v>
      </c>
      <c r="B2442">
        <v>2005</v>
      </c>
      <c r="C2442">
        <v>216.66704105757944</v>
      </c>
    </row>
    <row r="2443" spans="1:3" x14ac:dyDescent="0.35">
      <c r="A2443" t="s">
        <v>51</v>
      </c>
      <c r="B2443">
        <v>2006</v>
      </c>
      <c r="C2443">
        <v>218.53394851074285</v>
      </c>
    </row>
    <row r="2444" spans="1:3" x14ac:dyDescent="0.35">
      <c r="A2444" t="s">
        <v>51</v>
      </c>
      <c r="B2444">
        <v>2007</v>
      </c>
      <c r="C2444">
        <v>252.11924641280191</v>
      </c>
    </row>
    <row r="2445" spans="1:3" x14ac:dyDescent="0.35">
      <c r="A2445" t="s">
        <v>51</v>
      </c>
      <c r="B2445">
        <v>2008</v>
      </c>
      <c r="C2445">
        <v>311.85626932645135</v>
      </c>
    </row>
    <row r="2446" spans="1:3" x14ac:dyDescent="0.35">
      <c r="A2446" t="s">
        <v>51</v>
      </c>
      <c r="B2446">
        <v>2009</v>
      </c>
      <c r="C2446">
        <v>293.52767066077644</v>
      </c>
    </row>
    <row r="2447" spans="1:3" x14ac:dyDescent="0.35">
      <c r="A2447" t="s">
        <v>51</v>
      </c>
      <c r="B2447">
        <v>2010</v>
      </c>
      <c r="C2447">
        <v>608.68586858685876</v>
      </c>
    </row>
    <row r="2448" spans="1:3" x14ac:dyDescent="0.35">
      <c r="A2448" t="s">
        <v>51</v>
      </c>
      <c r="B2448">
        <v>2011</v>
      </c>
      <c r="C2448">
        <v>607.13507085521758</v>
      </c>
    </row>
    <row r="2449" spans="1:3" x14ac:dyDescent="0.35">
      <c r="A2449" t="s">
        <v>51</v>
      </c>
      <c r="B2449">
        <v>2012</v>
      </c>
      <c r="C2449">
        <v>351.83824703740379</v>
      </c>
    </row>
    <row r="2450" spans="1:3" x14ac:dyDescent="0.35">
      <c r="A2450" t="s">
        <v>51</v>
      </c>
      <c r="B2450">
        <v>2013</v>
      </c>
      <c r="C2450">
        <v>300.07557337188672</v>
      </c>
    </row>
    <row r="2451" spans="1:3" x14ac:dyDescent="0.35">
      <c r="A2451" t="s">
        <v>51</v>
      </c>
      <c r="B2451">
        <v>2014</v>
      </c>
      <c r="C2451">
        <v>325.66302721346273</v>
      </c>
    </row>
    <row r="2452" spans="1:3" x14ac:dyDescent="0.35">
      <c r="A2452" t="s">
        <v>51</v>
      </c>
      <c r="B2452">
        <v>2015</v>
      </c>
      <c r="C2452">
        <v>306.14469542677284</v>
      </c>
    </row>
    <row r="2453" spans="1:3" x14ac:dyDescent="0.35">
      <c r="A2453" t="s">
        <v>51</v>
      </c>
      <c r="B2453">
        <v>2016</v>
      </c>
      <c r="C2453">
        <v>318.35345001598728</v>
      </c>
    </row>
    <row r="2454" spans="1:3" x14ac:dyDescent="0.35">
      <c r="A2454" t="s">
        <v>51</v>
      </c>
      <c r="B2454">
        <v>2017</v>
      </c>
      <c r="C2454">
        <v>346.6578066647939</v>
      </c>
    </row>
    <row r="2455" spans="1:3" x14ac:dyDescent="0.35">
      <c r="A2455" t="s">
        <v>51</v>
      </c>
      <c r="B2455">
        <v>2018</v>
      </c>
      <c r="C2455">
        <v>408.43653608372506</v>
      </c>
    </row>
    <row r="2456" spans="1:3" x14ac:dyDescent="0.35">
      <c r="A2456" t="s">
        <v>51</v>
      </c>
      <c r="B2456">
        <v>2019</v>
      </c>
      <c r="C2456">
        <v>647.80783233543741</v>
      </c>
    </row>
    <row r="2457" spans="1:3" x14ac:dyDescent="0.35">
      <c r="A2457" t="s">
        <v>51</v>
      </c>
      <c r="B2457">
        <v>2020</v>
      </c>
      <c r="C2457">
        <v>984.2885928501355</v>
      </c>
    </row>
    <row r="2458" spans="1:3" x14ac:dyDescent="0.35">
      <c r="A2458" t="s">
        <v>51</v>
      </c>
      <c r="B2458">
        <v>2021</v>
      </c>
      <c r="C2458">
        <v>1060.8517273989455</v>
      </c>
    </row>
    <row r="2459" spans="1:3" x14ac:dyDescent="0.35">
      <c r="A2459" t="s">
        <v>51</v>
      </c>
      <c r="B2459">
        <v>2022</v>
      </c>
      <c r="C2459">
        <v>924.62705966186343</v>
      </c>
    </row>
    <row r="2460" spans="1:3" x14ac:dyDescent="0.35">
      <c r="A2460" t="s">
        <v>51</v>
      </c>
      <c r="B2460">
        <v>2023</v>
      </c>
      <c r="C2460">
        <v>975.15110850878273</v>
      </c>
    </row>
    <row r="2461" spans="1:3" x14ac:dyDescent="0.35">
      <c r="A2461" t="s">
        <v>51</v>
      </c>
      <c r="B2461">
        <v>2024</v>
      </c>
      <c r="C2461">
        <v>1116.6094890756281</v>
      </c>
    </row>
    <row r="2462" spans="1:3" x14ac:dyDescent="0.35">
      <c r="A2462" t="s">
        <v>51</v>
      </c>
      <c r="B2462">
        <v>2025</v>
      </c>
      <c r="C2462">
        <v>1296.9944642173004</v>
      </c>
    </row>
    <row r="2463" spans="1:3" x14ac:dyDescent="0.35">
      <c r="A2463" t="s">
        <v>52</v>
      </c>
      <c r="B2463">
        <v>1984</v>
      </c>
      <c r="C2463">
        <v>81.624098963704853</v>
      </c>
    </row>
    <row r="2464" spans="1:3" x14ac:dyDescent="0.35">
      <c r="A2464" t="s">
        <v>52</v>
      </c>
      <c r="B2464">
        <v>1985</v>
      </c>
      <c r="C2464">
        <v>53.190811685416165</v>
      </c>
    </row>
    <row r="2465" spans="1:3" x14ac:dyDescent="0.35">
      <c r="A2465" t="s">
        <v>52</v>
      </c>
      <c r="B2465">
        <v>1986</v>
      </c>
      <c r="C2465">
        <v>61.629720932919902</v>
      </c>
    </row>
    <row r="2466" spans="1:3" x14ac:dyDescent="0.35">
      <c r="A2466" t="s">
        <v>52</v>
      </c>
      <c r="B2466">
        <v>1987</v>
      </c>
      <c r="C2466">
        <v>66.915490043038105</v>
      </c>
    </row>
    <row r="2467" spans="1:3" x14ac:dyDescent="0.35">
      <c r="A2467" t="s">
        <v>52</v>
      </c>
      <c r="B2467">
        <v>1988</v>
      </c>
      <c r="C2467">
        <v>86.740656325535127</v>
      </c>
    </row>
    <row r="2468" spans="1:3" x14ac:dyDescent="0.35">
      <c r="A2468" t="s">
        <v>52</v>
      </c>
      <c r="B2468">
        <v>1989</v>
      </c>
      <c r="C2468">
        <v>167.58725033843214</v>
      </c>
    </row>
    <row r="2469" spans="1:3" x14ac:dyDescent="0.35">
      <c r="A2469" t="s">
        <v>52</v>
      </c>
      <c r="B2469">
        <v>1990</v>
      </c>
      <c r="C2469">
        <v>139.32404726452751</v>
      </c>
    </row>
    <row r="2470" spans="1:3" x14ac:dyDescent="0.35">
      <c r="A2470" t="s">
        <v>52</v>
      </c>
      <c r="B2470">
        <v>1991</v>
      </c>
      <c r="C2470">
        <v>86.247306222027646</v>
      </c>
    </row>
    <row r="2471" spans="1:3" x14ac:dyDescent="0.35">
      <c r="A2471" t="s">
        <v>52</v>
      </c>
      <c r="B2471">
        <v>1992</v>
      </c>
      <c r="C2471">
        <v>97.756279977237625</v>
      </c>
    </row>
    <row r="2472" spans="1:3" x14ac:dyDescent="0.35">
      <c r="A2472" t="s">
        <v>52</v>
      </c>
      <c r="B2472">
        <v>1993</v>
      </c>
      <c r="C2472">
        <v>51.128294494028879</v>
      </c>
    </row>
    <row r="2473" spans="1:3" x14ac:dyDescent="0.35">
      <c r="A2473" t="s">
        <v>52</v>
      </c>
      <c r="B2473">
        <v>1994</v>
      </c>
      <c r="C2473">
        <v>62.869469994965421</v>
      </c>
    </row>
    <row r="2474" spans="1:3" x14ac:dyDescent="0.35">
      <c r="A2474" t="s">
        <v>52</v>
      </c>
      <c r="B2474">
        <v>1995</v>
      </c>
      <c r="C2474">
        <v>55.265536343952625</v>
      </c>
    </row>
    <row r="2475" spans="1:3" x14ac:dyDescent="0.35">
      <c r="A2475" t="s">
        <v>52</v>
      </c>
      <c r="B2475">
        <v>1996</v>
      </c>
      <c r="C2475">
        <v>37.835913569004056</v>
      </c>
    </row>
    <row r="2476" spans="1:3" x14ac:dyDescent="0.35">
      <c r="A2476" t="s">
        <v>52</v>
      </c>
      <c r="B2476">
        <v>1997</v>
      </c>
      <c r="C2476">
        <v>43.362495245340433</v>
      </c>
    </row>
    <row r="2477" spans="1:3" x14ac:dyDescent="0.35">
      <c r="A2477" t="s">
        <v>52</v>
      </c>
      <c r="B2477">
        <v>1999</v>
      </c>
      <c r="C2477">
        <v>56.113432885821723</v>
      </c>
    </row>
    <row r="2478" spans="1:3" x14ac:dyDescent="0.35">
      <c r="A2478" t="s">
        <v>52</v>
      </c>
      <c r="B2478">
        <v>2004</v>
      </c>
      <c r="C2478">
        <v>98.34940404446229</v>
      </c>
    </row>
    <row r="2479" spans="1:3" x14ac:dyDescent="0.35">
      <c r="A2479" t="s">
        <v>52</v>
      </c>
      <c r="B2479">
        <v>2005</v>
      </c>
      <c r="C2479">
        <v>139.50935364624175</v>
      </c>
    </row>
    <row r="2480" spans="1:3" x14ac:dyDescent="0.35">
      <c r="A2480" t="s">
        <v>52</v>
      </c>
      <c r="B2480">
        <v>2006</v>
      </c>
      <c r="C2480">
        <v>205.8522315691896</v>
      </c>
    </row>
    <row r="2481" spans="1:3" x14ac:dyDescent="0.35">
      <c r="A2481" t="s">
        <v>52</v>
      </c>
      <c r="B2481">
        <v>2007</v>
      </c>
      <c r="C2481">
        <v>232.27866444140193</v>
      </c>
    </row>
    <row r="2482" spans="1:3" x14ac:dyDescent="0.35">
      <c r="A2482" t="s">
        <v>52</v>
      </c>
      <c r="B2482">
        <v>2008</v>
      </c>
      <c r="C2482">
        <v>278.05513581051133</v>
      </c>
    </row>
    <row r="2483" spans="1:3" x14ac:dyDescent="0.35">
      <c r="A2483" t="s">
        <v>52</v>
      </c>
      <c r="B2483">
        <v>2009</v>
      </c>
      <c r="C2483">
        <v>220.96228580034921</v>
      </c>
    </row>
    <row r="2484" spans="1:3" x14ac:dyDescent="0.35">
      <c r="A2484" t="s">
        <v>52</v>
      </c>
      <c r="B2484">
        <v>2010</v>
      </c>
      <c r="C2484">
        <v>280.18777855138688</v>
      </c>
    </row>
    <row r="2485" spans="1:3" x14ac:dyDescent="0.35">
      <c r="A2485" t="s">
        <v>52</v>
      </c>
      <c r="B2485">
        <v>2011</v>
      </c>
      <c r="C2485">
        <v>309.11376415185566</v>
      </c>
    </row>
    <row r="2486" spans="1:3" x14ac:dyDescent="0.35">
      <c r="A2486" t="s">
        <v>52</v>
      </c>
      <c r="B2486">
        <v>2012</v>
      </c>
      <c r="C2486">
        <v>346.30142308999956</v>
      </c>
    </row>
    <row r="2487" spans="1:3" x14ac:dyDescent="0.35">
      <c r="A2487" t="s">
        <v>52</v>
      </c>
      <c r="B2487">
        <v>2013</v>
      </c>
      <c r="C2487">
        <v>381.34580208269625</v>
      </c>
    </row>
    <row r="2488" spans="1:3" x14ac:dyDescent="0.35">
      <c r="A2488" t="s">
        <v>52</v>
      </c>
      <c r="B2488">
        <v>2014</v>
      </c>
      <c r="C2488">
        <v>443.60466653493592</v>
      </c>
    </row>
    <row r="2489" spans="1:3" x14ac:dyDescent="0.35">
      <c r="A2489" t="s">
        <v>52</v>
      </c>
      <c r="B2489">
        <v>2015</v>
      </c>
      <c r="C2489">
        <v>372.44756982052706</v>
      </c>
    </row>
    <row r="2490" spans="1:3" x14ac:dyDescent="0.35">
      <c r="A2490" t="s">
        <v>52</v>
      </c>
      <c r="B2490">
        <v>2016</v>
      </c>
      <c r="C2490">
        <v>299.65559058937669</v>
      </c>
    </row>
    <row r="2491" spans="1:3" x14ac:dyDescent="0.35">
      <c r="A2491" t="s">
        <v>52</v>
      </c>
      <c r="B2491">
        <v>2017</v>
      </c>
      <c r="C2491">
        <v>336.71027055424219</v>
      </c>
    </row>
    <row r="2492" spans="1:3" x14ac:dyDescent="0.35">
      <c r="A2492" t="s">
        <v>52</v>
      </c>
      <c r="B2492">
        <v>2018</v>
      </c>
      <c r="C2492">
        <v>378.22756972111671</v>
      </c>
    </row>
    <row r="2493" spans="1:3" x14ac:dyDescent="0.35">
      <c r="A2493" t="s">
        <v>52</v>
      </c>
      <c r="B2493">
        <v>2019</v>
      </c>
      <c r="C2493">
        <v>292.68425135764159</v>
      </c>
    </row>
    <row r="2494" spans="1:3" x14ac:dyDescent="0.35">
      <c r="A2494" t="s">
        <v>52</v>
      </c>
      <c r="B2494">
        <v>2020</v>
      </c>
      <c r="C2494">
        <v>211.43591427432943</v>
      </c>
    </row>
    <row r="2495" spans="1:3" x14ac:dyDescent="0.35">
      <c r="A2495" t="s">
        <v>52</v>
      </c>
      <c r="B2495">
        <v>2021</v>
      </c>
      <c r="C2495">
        <v>217.03938413832554</v>
      </c>
    </row>
    <row r="2496" spans="1:3" x14ac:dyDescent="0.35">
      <c r="A2496" t="s">
        <v>52</v>
      </c>
      <c r="B2496">
        <v>2022</v>
      </c>
      <c r="C2496">
        <v>325.74873940385663</v>
      </c>
    </row>
    <row r="2497" spans="1:3" x14ac:dyDescent="0.35">
      <c r="A2497" t="s">
        <v>52</v>
      </c>
      <c r="B2497">
        <v>2023</v>
      </c>
      <c r="C2497">
        <v>369.21103322796961</v>
      </c>
    </row>
    <row r="2498" spans="1:3" x14ac:dyDescent="0.35">
      <c r="A2498" t="s">
        <v>52</v>
      </c>
      <c r="B2498">
        <v>2024</v>
      </c>
      <c r="C2498">
        <v>348.99311504378034</v>
      </c>
    </row>
    <row r="2499" spans="1:3" x14ac:dyDescent="0.35">
      <c r="A2499" t="s">
        <v>52</v>
      </c>
      <c r="B2499">
        <v>2025</v>
      </c>
      <c r="C2499">
        <v>405.8587852056163</v>
      </c>
    </row>
    <row r="2500" spans="1:3" x14ac:dyDescent="0.35">
      <c r="A2500" t="s">
        <v>53</v>
      </c>
      <c r="B2500">
        <v>1965</v>
      </c>
      <c r="C2500">
        <v>15.6</v>
      </c>
    </row>
    <row r="2501" spans="1:3" x14ac:dyDescent="0.35">
      <c r="A2501" t="s">
        <v>53</v>
      </c>
      <c r="B2501">
        <v>1966</v>
      </c>
      <c r="C2501">
        <v>16.95</v>
      </c>
    </row>
    <row r="2502" spans="1:3" x14ac:dyDescent="0.35">
      <c r="A2502" t="s">
        <v>53</v>
      </c>
      <c r="B2502">
        <v>1967</v>
      </c>
      <c r="C2502">
        <v>19</v>
      </c>
    </row>
    <row r="2503" spans="1:3" x14ac:dyDescent="0.35">
      <c r="A2503" t="s">
        <v>53</v>
      </c>
      <c r="B2503">
        <v>1968</v>
      </c>
      <c r="C2503">
        <v>30.6</v>
      </c>
    </row>
    <row r="2504" spans="1:3" x14ac:dyDescent="0.35">
      <c r="A2504" t="s">
        <v>53</v>
      </c>
      <c r="B2504">
        <v>1969</v>
      </c>
      <c r="C2504">
        <v>42.35</v>
      </c>
    </row>
    <row r="2505" spans="1:3" x14ac:dyDescent="0.35">
      <c r="A2505" t="s">
        <v>53</v>
      </c>
      <c r="B2505">
        <v>1970</v>
      </c>
      <c r="C2505">
        <v>45.95</v>
      </c>
    </row>
    <row r="2506" spans="1:3" x14ac:dyDescent="0.35">
      <c r="A2506" t="s">
        <v>53</v>
      </c>
      <c r="B2506">
        <v>1971</v>
      </c>
      <c r="C2506">
        <v>49.85</v>
      </c>
    </row>
    <row r="2507" spans="1:3" x14ac:dyDescent="0.35">
      <c r="A2507" t="s">
        <v>53</v>
      </c>
      <c r="B2507">
        <v>1972</v>
      </c>
      <c r="C2507">
        <v>58.45</v>
      </c>
    </row>
    <row r="2508" spans="1:3" x14ac:dyDescent="0.35">
      <c r="A2508" t="s">
        <v>53</v>
      </c>
      <c r="B2508">
        <v>1973</v>
      </c>
      <c r="C2508">
        <v>86.9</v>
      </c>
    </row>
    <row r="2509" spans="1:3" x14ac:dyDescent="0.35">
      <c r="A2509" t="s">
        <v>53</v>
      </c>
      <c r="B2509">
        <v>1974</v>
      </c>
      <c r="C2509">
        <v>118.55</v>
      </c>
    </row>
    <row r="2510" spans="1:3" x14ac:dyDescent="0.35">
      <c r="A2510" t="s">
        <v>53</v>
      </c>
      <c r="B2510">
        <v>1975</v>
      </c>
      <c r="C2510">
        <v>148.6</v>
      </c>
    </row>
    <row r="2511" spans="1:3" x14ac:dyDescent="0.35">
      <c r="A2511" t="s">
        <v>53</v>
      </c>
      <c r="B2511">
        <v>1976</v>
      </c>
      <c r="C2511">
        <v>199.8</v>
      </c>
    </row>
    <row r="2512" spans="1:3" x14ac:dyDescent="0.35">
      <c r="A2512" t="s">
        <v>53</v>
      </c>
      <c r="B2512">
        <v>1977</v>
      </c>
      <c r="C2512">
        <v>285.35000000000002</v>
      </c>
    </row>
    <row r="2513" spans="1:3" x14ac:dyDescent="0.35">
      <c r="A2513" t="s">
        <v>53</v>
      </c>
      <c r="B2513">
        <v>1978</v>
      </c>
      <c r="C2513">
        <v>347.75</v>
      </c>
    </row>
    <row r="2514" spans="1:3" x14ac:dyDescent="0.35">
      <c r="A2514" t="s">
        <v>53</v>
      </c>
      <c r="B2514">
        <v>1979</v>
      </c>
      <c r="C2514">
        <v>441.15</v>
      </c>
    </row>
    <row r="2515" spans="1:3" x14ac:dyDescent="0.35">
      <c r="A2515" t="s">
        <v>53</v>
      </c>
      <c r="B2515">
        <v>1980</v>
      </c>
      <c r="C2515">
        <v>442.75</v>
      </c>
    </row>
    <row r="2516" spans="1:3" x14ac:dyDescent="0.35">
      <c r="A2516" t="s">
        <v>53</v>
      </c>
      <c r="B2516">
        <v>1981</v>
      </c>
      <c r="C2516">
        <v>389.7</v>
      </c>
    </row>
    <row r="2517" spans="1:3" x14ac:dyDescent="0.35">
      <c r="A2517" t="s">
        <v>53</v>
      </c>
      <c r="B2517">
        <v>1982</v>
      </c>
      <c r="C2517">
        <v>437.45</v>
      </c>
    </row>
    <row r="2518" spans="1:3" x14ac:dyDescent="0.35">
      <c r="A2518" t="s">
        <v>53</v>
      </c>
      <c r="B2518">
        <v>1983</v>
      </c>
      <c r="C2518">
        <v>431.75</v>
      </c>
    </row>
    <row r="2519" spans="1:3" x14ac:dyDescent="0.35">
      <c r="A2519" t="s">
        <v>53</v>
      </c>
      <c r="B2519">
        <v>1984</v>
      </c>
      <c r="C2519">
        <v>360.65</v>
      </c>
    </row>
    <row r="2520" spans="1:3" x14ac:dyDescent="0.35">
      <c r="A2520" t="s">
        <v>53</v>
      </c>
      <c r="B2520">
        <v>1985</v>
      </c>
      <c r="C2520">
        <v>309.3</v>
      </c>
    </row>
    <row r="2521" spans="1:3" x14ac:dyDescent="0.35">
      <c r="A2521" t="s">
        <v>53</v>
      </c>
      <c r="B2521">
        <v>1986</v>
      </c>
      <c r="C2521">
        <v>342.2</v>
      </c>
    </row>
    <row r="2522" spans="1:3" x14ac:dyDescent="0.35">
      <c r="A2522" t="s">
        <v>53</v>
      </c>
      <c r="B2522">
        <v>1987</v>
      </c>
      <c r="C2522">
        <v>392.6</v>
      </c>
    </row>
    <row r="2523" spans="1:3" x14ac:dyDescent="0.35">
      <c r="A2523" t="s">
        <v>53</v>
      </c>
      <c r="B2523">
        <v>1988</v>
      </c>
      <c r="C2523">
        <v>407.05</v>
      </c>
    </row>
    <row r="2524" spans="1:3" x14ac:dyDescent="0.35">
      <c r="A2524" t="s">
        <v>53</v>
      </c>
      <c r="B2524">
        <v>1989</v>
      </c>
      <c r="C2524">
        <v>408.6</v>
      </c>
    </row>
    <row r="2525" spans="1:3" x14ac:dyDescent="0.35">
      <c r="A2525" t="s">
        <v>53</v>
      </c>
      <c r="B2525">
        <v>1990</v>
      </c>
      <c r="C2525">
        <v>416.3</v>
      </c>
    </row>
    <row r="2526" spans="1:3" x14ac:dyDescent="0.35">
      <c r="A2526" t="s">
        <v>53</v>
      </c>
      <c r="B2526">
        <v>1991</v>
      </c>
      <c r="C2526">
        <v>376.05</v>
      </c>
    </row>
    <row r="2527" spans="1:3" x14ac:dyDescent="0.35">
      <c r="A2527" t="s">
        <v>53</v>
      </c>
      <c r="B2527">
        <v>1992</v>
      </c>
      <c r="C2527">
        <v>296.35000000000002</v>
      </c>
    </row>
    <row r="2528" spans="1:3" x14ac:dyDescent="0.35">
      <c r="A2528" t="s">
        <v>53</v>
      </c>
      <c r="B2528">
        <v>1993</v>
      </c>
      <c r="C2528">
        <v>249.8</v>
      </c>
    </row>
    <row r="2529" spans="1:3" x14ac:dyDescent="0.35">
      <c r="A2529" t="s">
        <v>53</v>
      </c>
      <c r="B2529">
        <v>1994</v>
      </c>
      <c r="C2529">
        <v>247.9</v>
      </c>
    </row>
    <row r="2530" spans="1:3" x14ac:dyDescent="0.35">
      <c r="A2530" t="s">
        <v>53</v>
      </c>
      <c r="B2530">
        <v>1995</v>
      </c>
      <c r="C2530">
        <v>262.89999999999998</v>
      </c>
    </row>
    <row r="2531" spans="1:3" x14ac:dyDescent="0.35">
      <c r="A2531" t="s">
        <v>53</v>
      </c>
      <c r="B2531">
        <v>1996</v>
      </c>
      <c r="C2531">
        <v>291.64999999999998</v>
      </c>
    </row>
    <row r="2532" spans="1:3" x14ac:dyDescent="0.35">
      <c r="A2532" t="s">
        <v>53</v>
      </c>
      <c r="B2532">
        <v>1997</v>
      </c>
      <c r="C2532">
        <v>311.39999999999998</v>
      </c>
    </row>
    <row r="2533" spans="1:3" x14ac:dyDescent="0.35">
      <c r="A2533" t="s">
        <v>53</v>
      </c>
      <c r="B2533">
        <v>1998</v>
      </c>
      <c r="C2533">
        <v>306</v>
      </c>
    </row>
    <row r="2534" spans="1:3" x14ac:dyDescent="0.35">
      <c r="A2534" t="s">
        <v>53</v>
      </c>
      <c r="B2534">
        <v>1999</v>
      </c>
      <c r="C2534">
        <v>263.39999999999998</v>
      </c>
    </row>
    <row r="2535" spans="1:3" x14ac:dyDescent="0.35">
      <c r="A2535" t="s">
        <v>53</v>
      </c>
      <c r="B2535">
        <v>2000</v>
      </c>
      <c r="C2535">
        <v>346.3</v>
      </c>
    </row>
    <row r="2536" spans="1:3" x14ac:dyDescent="0.35">
      <c r="A2536" t="s">
        <v>53</v>
      </c>
      <c r="B2536">
        <v>2001</v>
      </c>
      <c r="C2536">
        <v>286.7</v>
      </c>
    </row>
    <row r="2537" spans="1:3" x14ac:dyDescent="0.35">
      <c r="A2537" t="s">
        <v>53</v>
      </c>
      <c r="B2537">
        <v>2002</v>
      </c>
      <c r="C2537">
        <v>677</v>
      </c>
    </row>
    <row r="2538" spans="1:3" x14ac:dyDescent="0.35">
      <c r="A2538" t="s">
        <v>53</v>
      </c>
      <c r="B2538">
        <v>2003</v>
      </c>
      <c r="C2538">
        <v>194.8</v>
      </c>
    </row>
    <row r="2539" spans="1:3" x14ac:dyDescent="0.35">
      <c r="A2539" t="s">
        <v>53</v>
      </c>
      <c r="B2539">
        <v>2004</v>
      </c>
      <c r="C2539">
        <v>256.10000000000002</v>
      </c>
    </row>
    <row r="2540" spans="1:3" x14ac:dyDescent="0.35">
      <c r="A2540" t="s">
        <v>53</v>
      </c>
      <c r="B2540">
        <v>2005</v>
      </c>
      <c r="C2540">
        <v>131.4</v>
      </c>
    </row>
    <row r="2541" spans="1:3" x14ac:dyDescent="0.35">
      <c r="A2541" t="s">
        <v>53</v>
      </c>
      <c r="B2541">
        <v>2006</v>
      </c>
      <c r="C2541">
        <v>161.69999999999999</v>
      </c>
    </row>
    <row r="2542" spans="1:3" x14ac:dyDescent="0.35">
      <c r="A2542" t="s">
        <v>53</v>
      </c>
      <c r="B2542">
        <v>2010</v>
      </c>
      <c r="C2542">
        <v>98.293000000000006</v>
      </c>
    </row>
    <row r="2543" spans="1:3" x14ac:dyDescent="0.35">
      <c r="A2543" t="s">
        <v>53</v>
      </c>
      <c r="B2543">
        <v>2011</v>
      </c>
      <c r="C2543">
        <v>198.43799999999999</v>
      </c>
    </row>
    <row r="2544" spans="1:3" x14ac:dyDescent="0.35">
      <c r="A2544" t="s">
        <v>53</v>
      </c>
      <c r="B2544">
        <v>2012</v>
      </c>
      <c r="C2544">
        <v>318.27199999999999</v>
      </c>
    </row>
    <row r="2545" spans="1:3" x14ac:dyDescent="0.35">
      <c r="A2545" t="s">
        <v>53</v>
      </c>
      <c r="B2545">
        <v>2013</v>
      </c>
      <c r="C2545">
        <v>356.7</v>
      </c>
    </row>
    <row r="2546" spans="1:3" x14ac:dyDescent="0.35">
      <c r="A2546" t="s">
        <v>53</v>
      </c>
      <c r="B2546">
        <v>2014</v>
      </c>
      <c r="C2546">
        <v>368.1</v>
      </c>
    </row>
    <row r="2547" spans="1:3" x14ac:dyDescent="0.35">
      <c r="A2547" t="s">
        <v>53</v>
      </c>
      <c r="B2547">
        <v>2015</v>
      </c>
      <c r="C2547">
        <v>376.67700000000002</v>
      </c>
    </row>
    <row r="2548" spans="1:3" x14ac:dyDescent="0.35">
      <c r="A2548" t="s">
        <v>53</v>
      </c>
      <c r="B2548">
        <v>2016</v>
      </c>
      <c r="C2548">
        <v>358.065</v>
      </c>
    </row>
    <row r="2549" spans="1:3" x14ac:dyDescent="0.35">
      <c r="A2549" t="s">
        <v>53</v>
      </c>
      <c r="B2549">
        <v>2017</v>
      </c>
      <c r="C2549">
        <v>340.52199999999999</v>
      </c>
    </row>
    <row r="2550" spans="1:3" x14ac:dyDescent="0.35">
      <c r="A2550" t="s">
        <v>53</v>
      </c>
      <c r="B2550">
        <v>2018</v>
      </c>
      <c r="C2550">
        <v>420.36399999999998</v>
      </c>
    </row>
    <row r="2551" spans="1:3" x14ac:dyDescent="0.35">
      <c r="A2551" t="s">
        <v>53</v>
      </c>
      <c r="B2551">
        <v>2019</v>
      </c>
      <c r="C2551">
        <v>546.93899999999985</v>
      </c>
    </row>
    <row r="2552" spans="1:3" x14ac:dyDescent="0.35">
      <c r="A2552" t="s">
        <v>53</v>
      </c>
      <c r="B2552">
        <v>2020</v>
      </c>
      <c r="C2552">
        <v>242.17959183673469</v>
      </c>
    </row>
    <row r="2553" spans="1:3" x14ac:dyDescent="0.35">
      <c r="A2553" t="s">
        <v>53</v>
      </c>
      <c r="B2553">
        <v>2021</v>
      </c>
      <c r="C2553">
        <v>473.94527472527471</v>
      </c>
    </row>
    <row r="2554" spans="1:3" x14ac:dyDescent="0.35">
      <c r="A2554" t="s">
        <v>53</v>
      </c>
      <c r="B2554">
        <v>2022</v>
      </c>
      <c r="C2554">
        <v>332.71733727810653</v>
      </c>
    </row>
    <row r="2555" spans="1:3" x14ac:dyDescent="0.35">
      <c r="A2555" t="s">
        <v>53</v>
      </c>
      <c r="B2555">
        <v>2023</v>
      </c>
      <c r="C2555">
        <v>870.43353788687295</v>
      </c>
    </row>
    <row r="2556" spans="1:3" x14ac:dyDescent="0.35">
      <c r="A2556" t="s">
        <v>53</v>
      </c>
      <c r="B2556">
        <v>2024</v>
      </c>
      <c r="C2556">
        <v>98.394292716267543</v>
      </c>
    </row>
    <row r="2557" spans="1:3" x14ac:dyDescent="0.35">
      <c r="A2557" t="s">
        <v>53</v>
      </c>
      <c r="B2557">
        <v>2025</v>
      </c>
      <c r="C2557">
        <v>159.63929270633508</v>
      </c>
    </row>
    <row r="2558" spans="1:3" x14ac:dyDescent="0.35">
      <c r="A2558" t="s">
        <v>54</v>
      </c>
      <c r="B2558">
        <v>1981</v>
      </c>
      <c r="C2558">
        <v>2.07925</v>
      </c>
    </row>
    <row r="2559" spans="1:3" x14ac:dyDescent="0.35">
      <c r="A2559" t="s">
        <v>54</v>
      </c>
      <c r="B2559">
        <v>1982</v>
      </c>
      <c r="C2559">
        <v>2.5768749999999998</v>
      </c>
    </row>
    <row r="2560" spans="1:3" x14ac:dyDescent="0.35">
      <c r="A2560" t="s">
        <v>54</v>
      </c>
      <c r="B2560">
        <v>1983</v>
      </c>
      <c r="C2560">
        <v>2.89975</v>
      </c>
    </row>
    <row r="2561" spans="1:3" x14ac:dyDescent="0.35">
      <c r="A2561" t="s">
        <v>54</v>
      </c>
      <c r="B2561">
        <v>1984</v>
      </c>
      <c r="C2561">
        <v>3.2561249999999999</v>
      </c>
    </row>
    <row r="2562" spans="1:3" x14ac:dyDescent="0.35">
      <c r="A2562" t="s">
        <v>54</v>
      </c>
      <c r="B2562">
        <v>1985</v>
      </c>
      <c r="C2562">
        <v>3.2629999999999999</v>
      </c>
    </row>
    <row r="2563" spans="1:3" x14ac:dyDescent="0.35">
      <c r="A2563" t="s">
        <v>54</v>
      </c>
      <c r="B2563">
        <v>1989</v>
      </c>
      <c r="C2563">
        <v>4.3553750000000004</v>
      </c>
    </row>
    <row r="2564" spans="1:3" x14ac:dyDescent="0.35">
      <c r="A2564" t="s">
        <v>54</v>
      </c>
      <c r="B2564">
        <v>1990</v>
      </c>
      <c r="C2564">
        <v>4.7687499999999998</v>
      </c>
    </row>
    <row r="2565" spans="1:3" x14ac:dyDescent="0.35">
      <c r="A2565" t="s">
        <v>54</v>
      </c>
      <c r="B2565">
        <v>1991</v>
      </c>
      <c r="C2565">
        <v>4.7328749999999999</v>
      </c>
    </row>
    <row r="2566" spans="1:3" x14ac:dyDescent="0.35">
      <c r="A2566" t="s">
        <v>54</v>
      </c>
      <c r="B2566">
        <v>1992</v>
      </c>
      <c r="C2566">
        <v>5.2921250000000004</v>
      </c>
    </row>
    <row r="2567" spans="1:3" x14ac:dyDescent="0.35">
      <c r="A2567" t="s">
        <v>54</v>
      </c>
      <c r="B2567">
        <v>1993</v>
      </c>
      <c r="C2567">
        <v>6.1303749999999999</v>
      </c>
    </row>
    <row r="2568" spans="1:3" x14ac:dyDescent="0.35">
      <c r="A2568" t="s">
        <v>54</v>
      </c>
      <c r="B2568">
        <v>1994</v>
      </c>
      <c r="C2568">
        <v>7.899375</v>
      </c>
    </row>
    <row r="2569" spans="1:3" x14ac:dyDescent="0.35">
      <c r="A2569" t="s">
        <v>54</v>
      </c>
      <c r="B2569">
        <v>1995</v>
      </c>
      <c r="C2569">
        <v>8.0528750000000002</v>
      </c>
    </row>
    <row r="2570" spans="1:3" x14ac:dyDescent="0.35">
      <c r="A2570" t="s">
        <v>54</v>
      </c>
      <c r="B2570">
        <v>1996</v>
      </c>
      <c r="C2570">
        <v>7.9658749999999996</v>
      </c>
    </row>
    <row r="2571" spans="1:3" x14ac:dyDescent="0.35">
      <c r="A2571" t="s">
        <v>54</v>
      </c>
      <c r="B2571">
        <v>1997</v>
      </c>
      <c r="C2571">
        <v>9.3949999999999996</v>
      </c>
    </row>
    <row r="2572" spans="1:3" x14ac:dyDescent="0.35">
      <c r="A2572" t="s">
        <v>54</v>
      </c>
      <c r="B2572">
        <v>2000</v>
      </c>
      <c r="C2572">
        <v>7.1161250000000003</v>
      </c>
    </row>
    <row r="2573" spans="1:3" x14ac:dyDescent="0.35">
      <c r="A2573" t="s">
        <v>54</v>
      </c>
      <c r="B2573">
        <v>2001</v>
      </c>
      <c r="C2573">
        <v>7.4546625000000004</v>
      </c>
    </row>
    <row r="2574" spans="1:3" x14ac:dyDescent="0.35">
      <c r="A2574" t="s">
        <v>54</v>
      </c>
      <c r="B2574">
        <v>2002</v>
      </c>
      <c r="C2574">
        <v>7.8299374999999998</v>
      </c>
    </row>
    <row r="2575" spans="1:3" x14ac:dyDescent="0.35">
      <c r="A2575" t="s">
        <v>54</v>
      </c>
      <c r="B2575">
        <v>2003</v>
      </c>
      <c r="C2575">
        <v>8.552225</v>
      </c>
    </row>
    <row r="2576" spans="1:3" x14ac:dyDescent="0.35">
      <c r="A2576" t="s">
        <v>54</v>
      </c>
      <c r="B2576">
        <v>2004</v>
      </c>
      <c r="C2576">
        <v>9.4861500000000003</v>
      </c>
    </row>
    <row r="2577" spans="1:3" x14ac:dyDescent="0.35">
      <c r="A2577" t="s">
        <v>54</v>
      </c>
      <c r="B2577">
        <v>2005</v>
      </c>
      <c r="C2577">
        <v>10.710962500000001</v>
      </c>
    </row>
    <row r="2578" spans="1:3" x14ac:dyDescent="0.35">
      <c r="A2578" t="s">
        <v>54</v>
      </c>
      <c r="B2578">
        <v>2006</v>
      </c>
      <c r="C2578">
        <v>12.283037500000001</v>
      </c>
    </row>
    <row r="2579" spans="1:3" x14ac:dyDescent="0.35">
      <c r="A2579" t="s">
        <v>54</v>
      </c>
      <c r="B2579">
        <v>2007</v>
      </c>
      <c r="C2579">
        <v>13.759074999999999</v>
      </c>
    </row>
    <row r="2580" spans="1:3" x14ac:dyDescent="0.35">
      <c r="A2580" t="s">
        <v>54</v>
      </c>
      <c r="B2580">
        <v>2008</v>
      </c>
      <c r="C2580">
        <v>18.717737499999998</v>
      </c>
    </row>
    <row r="2581" spans="1:3" x14ac:dyDescent="0.35">
      <c r="A2581" t="s">
        <v>54</v>
      </c>
      <c r="B2581">
        <v>2009</v>
      </c>
      <c r="C2581">
        <v>17.2675375</v>
      </c>
    </row>
    <row r="2582" spans="1:3" x14ac:dyDescent="0.35">
      <c r="A2582" t="s">
        <v>54</v>
      </c>
      <c r="B2582">
        <v>2010</v>
      </c>
      <c r="C2582">
        <v>15.337249999999999</v>
      </c>
    </row>
    <row r="2583" spans="1:3" x14ac:dyDescent="0.35">
      <c r="A2583" t="s">
        <v>54</v>
      </c>
      <c r="B2583">
        <v>2011</v>
      </c>
      <c r="C2583">
        <v>15.41625</v>
      </c>
    </row>
    <row r="2584" spans="1:3" x14ac:dyDescent="0.35">
      <c r="A2584" t="s">
        <v>54</v>
      </c>
      <c r="B2584">
        <v>2012</v>
      </c>
      <c r="C2584">
        <v>15.219125</v>
      </c>
    </row>
    <row r="2585" spans="1:3" x14ac:dyDescent="0.35">
      <c r="A2585" t="s">
        <v>54</v>
      </c>
      <c r="B2585">
        <v>2013</v>
      </c>
      <c r="C2585">
        <v>17.778874999999999</v>
      </c>
    </row>
    <row r="2586" spans="1:3" x14ac:dyDescent="0.35">
      <c r="A2586" t="s">
        <v>54</v>
      </c>
      <c r="B2586">
        <v>2014</v>
      </c>
      <c r="C2586">
        <v>19.916875000000001</v>
      </c>
    </row>
    <row r="2587" spans="1:3" x14ac:dyDescent="0.35">
      <c r="A2587" t="s">
        <v>54</v>
      </c>
      <c r="B2587">
        <v>2015</v>
      </c>
      <c r="C2587">
        <v>19.717625000000002</v>
      </c>
    </row>
    <row r="2588" spans="1:3" x14ac:dyDescent="0.35">
      <c r="A2588" t="s">
        <v>54</v>
      </c>
      <c r="B2588">
        <v>2016</v>
      </c>
      <c r="C2588">
        <v>21.712887500000001</v>
      </c>
    </row>
    <row r="2589" spans="1:3" x14ac:dyDescent="0.35">
      <c r="A2589" t="s">
        <v>54</v>
      </c>
      <c r="B2589">
        <v>2017</v>
      </c>
      <c r="C2589">
        <v>23.055949999999999</v>
      </c>
    </row>
    <row r="2590" spans="1:3" x14ac:dyDescent="0.35">
      <c r="A2590" t="s">
        <v>54</v>
      </c>
      <c r="B2590">
        <v>2018</v>
      </c>
      <c r="C2590">
        <v>23.341162499999999</v>
      </c>
    </row>
    <row r="2591" spans="1:3" x14ac:dyDescent="0.35">
      <c r="A2591" t="s">
        <v>54</v>
      </c>
      <c r="B2591">
        <v>2019</v>
      </c>
      <c r="C2591">
        <v>24.424949999999999</v>
      </c>
    </row>
    <row r="2592" spans="1:3" x14ac:dyDescent="0.35">
      <c r="A2592" t="s">
        <v>54</v>
      </c>
      <c r="B2592">
        <v>2020</v>
      </c>
      <c r="C2592">
        <v>26.025324999999999</v>
      </c>
    </row>
    <row r="2593" spans="1:3" x14ac:dyDescent="0.35">
      <c r="A2593" t="s">
        <v>54</v>
      </c>
      <c r="B2593">
        <v>2021</v>
      </c>
      <c r="C2593">
        <v>26.703375000000001</v>
      </c>
    </row>
    <row r="2594" spans="1:3" x14ac:dyDescent="0.35">
      <c r="A2594" t="s">
        <v>54</v>
      </c>
      <c r="B2594">
        <v>2022</v>
      </c>
      <c r="C2594">
        <v>27.805037500000001</v>
      </c>
    </row>
    <row r="2595" spans="1:3" x14ac:dyDescent="0.35">
      <c r="A2595" t="s">
        <v>54</v>
      </c>
      <c r="B2595">
        <v>2023</v>
      </c>
      <c r="C2595">
        <v>32.490299999999998</v>
      </c>
    </row>
    <row r="2596" spans="1:3" x14ac:dyDescent="0.35">
      <c r="A2596" t="s">
        <v>54</v>
      </c>
      <c r="B2596">
        <v>2024</v>
      </c>
      <c r="C2596">
        <v>35.184762499999998</v>
      </c>
    </row>
    <row r="2597" spans="1:3" x14ac:dyDescent="0.35">
      <c r="A2597" t="s">
        <v>54</v>
      </c>
      <c r="B2597">
        <v>2025</v>
      </c>
      <c r="C2597">
        <v>33.317349999999998</v>
      </c>
    </row>
    <row r="2598" spans="1:3" x14ac:dyDescent="0.35">
      <c r="A2598" t="s">
        <v>55</v>
      </c>
      <c r="B2598">
        <v>1949</v>
      </c>
      <c r="C2598">
        <v>0</v>
      </c>
    </row>
    <row r="2599" spans="1:3" x14ac:dyDescent="0.35">
      <c r="A2599" t="s">
        <v>55</v>
      </c>
      <c r="B2599">
        <v>1950</v>
      </c>
      <c r="C2599">
        <v>0</v>
      </c>
    </row>
    <row r="2600" spans="1:3" x14ac:dyDescent="0.35">
      <c r="A2600" t="s">
        <v>55</v>
      </c>
      <c r="B2600">
        <v>1951</v>
      </c>
      <c r="C2600">
        <v>0</v>
      </c>
    </row>
    <row r="2601" spans="1:3" x14ac:dyDescent="0.35">
      <c r="A2601" t="s">
        <v>55</v>
      </c>
      <c r="B2601">
        <v>1952</v>
      </c>
      <c r="C2601">
        <v>0</v>
      </c>
    </row>
    <row r="2602" spans="1:3" x14ac:dyDescent="0.35">
      <c r="A2602" t="s">
        <v>55</v>
      </c>
      <c r="B2602">
        <v>1953</v>
      </c>
      <c r="C2602">
        <v>0</v>
      </c>
    </row>
    <row r="2603" spans="1:3" x14ac:dyDescent="0.35">
      <c r="A2603" t="s">
        <v>55</v>
      </c>
      <c r="B2603">
        <v>1954</v>
      </c>
      <c r="C2603">
        <v>0</v>
      </c>
    </row>
    <row r="2604" spans="1:3" x14ac:dyDescent="0.35">
      <c r="A2604" t="s">
        <v>55</v>
      </c>
      <c r="B2604">
        <v>1955</v>
      </c>
      <c r="C2604">
        <v>0</v>
      </c>
    </row>
    <row r="2605" spans="1:3" x14ac:dyDescent="0.35">
      <c r="A2605" t="s">
        <v>55</v>
      </c>
      <c r="B2605">
        <v>1956</v>
      </c>
      <c r="C2605">
        <v>0</v>
      </c>
    </row>
    <row r="2606" spans="1:3" x14ac:dyDescent="0.35">
      <c r="A2606" t="s">
        <v>55</v>
      </c>
      <c r="B2606">
        <v>1957</v>
      </c>
      <c r="C2606">
        <v>0</v>
      </c>
    </row>
    <row r="2607" spans="1:3" x14ac:dyDescent="0.35">
      <c r="A2607" t="s">
        <v>55</v>
      </c>
      <c r="B2607">
        <v>1958</v>
      </c>
      <c r="C2607">
        <v>0</v>
      </c>
    </row>
    <row r="2608" spans="1:3" x14ac:dyDescent="0.35">
      <c r="A2608" t="s">
        <v>55</v>
      </c>
      <c r="B2608">
        <v>1959</v>
      </c>
      <c r="C2608">
        <v>0</v>
      </c>
    </row>
    <row r="2609" spans="1:3" x14ac:dyDescent="0.35">
      <c r="A2609" t="s">
        <v>55</v>
      </c>
      <c r="B2609">
        <v>1960</v>
      </c>
      <c r="C2609">
        <v>0</v>
      </c>
    </row>
    <row r="2610" spans="1:3" x14ac:dyDescent="0.35">
      <c r="A2610" t="s">
        <v>55</v>
      </c>
      <c r="B2610">
        <v>1961</v>
      </c>
      <c r="C2610">
        <v>0</v>
      </c>
    </row>
    <row r="2611" spans="1:3" x14ac:dyDescent="0.35">
      <c r="A2611" t="s">
        <v>55</v>
      </c>
      <c r="B2611">
        <v>1962</v>
      </c>
      <c r="C2611">
        <v>0</v>
      </c>
    </row>
    <row r="2612" spans="1:3" x14ac:dyDescent="0.35">
      <c r="A2612" t="s">
        <v>55</v>
      </c>
      <c r="B2612">
        <v>1963</v>
      </c>
      <c r="C2612">
        <v>0</v>
      </c>
    </row>
    <row r="2613" spans="1:3" x14ac:dyDescent="0.35">
      <c r="A2613" t="s">
        <v>55</v>
      </c>
      <c r="B2613">
        <v>1964</v>
      </c>
      <c r="C2613">
        <v>0</v>
      </c>
    </row>
    <row r="2614" spans="1:3" x14ac:dyDescent="0.35">
      <c r="A2614" t="s">
        <v>55</v>
      </c>
      <c r="B2614">
        <v>1965</v>
      </c>
      <c r="C2614">
        <v>0</v>
      </c>
    </row>
    <row r="2615" spans="1:3" x14ac:dyDescent="0.35">
      <c r="A2615" t="s">
        <v>55</v>
      </c>
      <c r="B2615">
        <v>1966</v>
      </c>
      <c r="C2615">
        <v>0</v>
      </c>
    </row>
    <row r="2616" spans="1:3" x14ac:dyDescent="0.35">
      <c r="A2616" t="s">
        <v>55</v>
      </c>
      <c r="B2616">
        <v>1967</v>
      </c>
      <c r="C2616">
        <v>0</v>
      </c>
    </row>
    <row r="2617" spans="1:3" x14ac:dyDescent="0.35">
      <c r="A2617" t="s">
        <v>55</v>
      </c>
      <c r="B2617">
        <v>1968</v>
      </c>
      <c r="C2617">
        <v>0</v>
      </c>
    </row>
    <row r="2618" spans="1:3" x14ac:dyDescent="0.35">
      <c r="A2618" t="s">
        <v>55</v>
      </c>
      <c r="B2618">
        <v>1969</v>
      </c>
      <c r="C2618">
        <v>0</v>
      </c>
    </row>
    <row r="2619" spans="1:3" x14ac:dyDescent="0.35">
      <c r="A2619" t="s">
        <v>55</v>
      </c>
      <c r="B2619">
        <v>1970</v>
      </c>
      <c r="C2619">
        <v>0</v>
      </c>
    </row>
    <row r="2620" spans="1:3" x14ac:dyDescent="0.35">
      <c r="A2620" t="s">
        <v>55</v>
      </c>
      <c r="B2620">
        <v>1971</v>
      </c>
      <c r="C2620">
        <v>0</v>
      </c>
    </row>
    <row r="2621" spans="1:3" x14ac:dyDescent="0.35">
      <c r="A2621" t="s">
        <v>55</v>
      </c>
      <c r="B2621">
        <v>1972</v>
      </c>
      <c r="C2621">
        <v>0</v>
      </c>
    </row>
    <row r="2622" spans="1:3" x14ac:dyDescent="0.35">
      <c r="A2622" t="s">
        <v>55</v>
      </c>
      <c r="B2622">
        <v>1973</v>
      </c>
      <c r="C2622">
        <v>0</v>
      </c>
    </row>
    <row r="2623" spans="1:3" x14ac:dyDescent="0.35">
      <c r="A2623" t="s">
        <v>55</v>
      </c>
      <c r="B2623">
        <v>1974</v>
      </c>
      <c r="C2623">
        <v>0</v>
      </c>
    </row>
    <row r="2624" spans="1:3" x14ac:dyDescent="0.35">
      <c r="A2624" t="s">
        <v>55</v>
      </c>
      <c r="B2624">
        <v>1975</v>
      </c>
      <c r="C2624">
        <v>0</v>
      </c>
    </row>
    <row r="2625" spans="1:3" x14ac:dyDescent="0.35">
      <c r="A2625" t="s">
        <v>55</v>
      </c>
      <c r="B2625">
        <v>1976</v>
      </c>
      <c r="C2625">
        <v>0</v>
      </c>
    </row>
    <row r="2626" spans="1:3" x14ac:dyDescent="0.35">
      <c r="A2626" t="s">
        <v>55</v>
      </c>
      <c r="B2626">
        <v>1977</v>
      </c>
      <c r="C2626">
        <v>0</v>
      </c>
    </row>
    <row r="2627" spans="1:3" x14ac:dyDescent="0.35">
      <c r="A2627" t="s">
        <v>55</v>
      </c>
      <c r="B2627">
        <v>1978</v>
      </c>
      <c r="C2627">
        <v>0</v>
      </c>
    </row>
    <row r="2628" spans="1:3" x14ac:dyDescent="0.35">
      <c r="A2628" t="s">
        <v>55</v>
      </c>
      <c r="B2628">
        <v>1979</v>
      </c>
      <c r="C2628">
        <v>0</v>
      </c>
    </row>
    <row r="2629" spans="1:3" x14ac:dyDescent="0.35">
      <c r="A2629" t="s">
        <v>55</v>
      </c>
      <c r="B2629">
        <v>1980</v>
      </c>
      <c r="C2629">
        <v>0</v>
      </c>
    </row>
    <row r="2630" spans="1:3" x14ac:dyDescent="0.35">
      <c r="A2630" t="s">
        <v>55</v>
      </c>
      <c r="B2630">
        <v>1981</v>
      </c>
      <c r="C2630">
        <v>0</v>
      </c>
    </row>
    <row r="2631" spans="1:3" x14ac:dyDescent="0.35">
      <c r="A2631" t="s">
        <v>55</v>
      </c>
      <c r="B2631">
        <v>1982</v>
      </c>
      <c r="C2631">
        <v>0</v>
      </c>
    </row>
    <row r="2632" spans="1:3" x14ac:dyDescent="0.35">
      <c r="A2632" t="s">
        <v>55</v>
      </c>
      <c r="B2632">
        <v>1983</v>
      </c>
      <c r="C2632">
        <v>0</v>
      </c>
    </row>
    <row r="2633" spans="1:3" x14ac:dyDescent="0.35">
      <c r="A2633" t="s">
        <v>55</v>
      </c>
      <c r="B2633">
        <v>1984</v>
      </c>
      <c r="C2633">
        <v>0</v>
      </c>
    </row>
    <row r="2634" spans="1:3" x14ac:dyDescent="0.35">
      <c r="A2634" t="s">
        <v>55</v>
      </c>
      <c r="B2634">
        <v>1985</v>
      </c>
      <c r="C2634">
        <v>0</v>
      </c>
    </row>
    <row r="2635" spans="1:3" x14ac:dyDescent="0.35">
      <c r="A2635" t="s">
        <v>55</v>
      </c>
      <c r="B2635">
        <v>1986</v>
      </c>
      <c r="C2635">
        <v>0</v>
      </c>
    </row>
    <row r="2636" spans="1:3" x14ac:dyDescent="0.35">
      <c r="A2636" t="s">
        <v>55</v>
      </c>
      <c r="B2636">
        <v>1987</v>
      </c>
      <c r="C2636">
        <v>0</v>
      </c>
    </row>
    <row r="2637" spans="1:3" x14ac:dyDescent="0.35">
      <c r="A2637" t="s">
        <v>55</v>
      </c>
      <c r="B2637">
        <v>1988</v>
      </c>
      <c r="C2637">
        <v>0</v>
      </c>
    </row>
    <row r="2638" spans="1:3" x14ac:dyDescent="0.35">
      <c r="A2638" t="s">
        <v>55</v>
      </c>
      <c r="B2638">
        <v>1989</v>
      </c>
      <c r="C2638">
        <v>0</v>
      </c>
    </row>
    <row r="2639" spans="1:3" x14ac:dyDescent="0.35">
      <c r="A2639" t="s">
        <v>55</v>
      </c>
      <c r="B2639">
        <v>1990</v>
      </c>
      <c r="C2639">
        <v>0</v>
      </c>
    </row>
    <row r="2640" spans="1:3" x14ac:dyDescent="0.35">
      <c r="A2640" t="s">
        <v>55</v>
      </c>
      <c r="B2640">
        <v>1991</v>
      </c>
      <c r="C2640">
        <v>0</v>
      </c>
    </row>
    <row r="2641" spans="1:3" x14ac:dyDescent="0.35">
      <c r="A2641" t="s">
        <v>55</v>
      </c>
      <c r="B2641">
        <v>1992</v>
      </c>
      <c r="C2641">
        <v>0</v>
      </c>
    </row>
    <row r="2642" spans="1:3" x14ac:dyDescent="0.35">
      <c r="A2642" t="s">
        <v>55</v>
      </c>
      <c r="B2642">
        <v>1993</v>
      </c>
      <c r="C2642">
        <v>0</v>
      </c>
    </row>
    <row r="2643" spans="1:3" x14ac:dyDescent="0.35">
      <c r="A2643" t="s">
        <v>55</v>
      </c>
      <c r="B2643">
        <v>1994</v>
      </c>
      <c r="C2643">
        <v>0</v>
      </c>
    </row>
    <row r="2644" spans="1:3" x14ac:dyDescent="0.35">
      <c r="A2644" t="s">
        <v>55</v>
      </c>
      <c r="B2644">
        <v>1995</v>
      </c>
      <c r="C2644">
        <v>0</v>
      </c>
    </row>
    <row r="2645" spans="1:3" x14ac:dyDescent="0.35">
      <c r="A2645" t="s">
        <v>55</v>
      </c>
      <c r="B2645">
        <v>1996</v>
      </c>
      <c r="C2645">
        <v>0</v>
      </c>
    </row>
    <row r="2646" spans="1:3" x14ac:dyDescent="0.35">
      <c r="A2646" t="s">
        <v>55</v>
      </c>
      <c r="B2646">
        <v>1997</v>
      </c>
      <c r="C2646">
        <v>0</v>
      </c>
    </row>
    <row r="2647" spans="1:3" x14ac:dyDescent="0.35">
      <c r="A2647" t="s">
        <v>55</v>
      </c>
      <c r="B2647">
        <v>1998</v>
      </c>
      <c r="C2647">
        <v>0</v>
      </c>
    </row>
    <row r="2648" spans="1:3" x14ac:dyDescent="0.35">
      <c r="A2648" t="s">
        <v>55</v>
      </c>
      <c r="B2648">
        <v>1999</v>
      </c>
      <c r="C2648">
        <v>0</v>
      </c>
    </row>
    <row r="2649" spans="1:3" x14ac:dyDescent="0.35">
      <c r="A2649" t="s">
        <v>55</v>
      </c>
      <c r="B2649">
        <v>2000</v>
      </c>
      <c r="C2649">
        <v>0</v>
      </c>
    </row>
    <row r="2650" spans="1:3" x14ac:dyDescent="0.35">
      <c r="A2650" t="s">
        <v>55</v>
      </c>
      <c r="B2650">
        <v>2001</v>
      </c>
      <c r="C2650">
        <v>0</v>
      </c>
    </row>
    <row r="2651" spans="1:3" x14ac:dyDescent="0.35">
      <c r="A2651" t="s">
        <v>55</v>
      </c>
      <c r="B2651">
        <v>2002</v>
      </c>
      <c r="C2651">
        <v>0</v>
      </c>
    </row>
    <row r="2652" spans="1:3" x14ac:dyDescent="0.35">
      <c r="A2652" t="s">
        <v>55</v>
      </c>
      <c r="B2652">
        <v>2003</v>
      </c>
      <c r="C2652">
        <v>0</v>
      </c>
    </row>
    <row r="2653" spans="1:3" x14ac:dyDescent="0.35">
      <c r="A2653" t="s">
        <v>55</v>
      </c>
      <c r="B2653">
        <v>2004</v>
      </c>
      <c r="C2653">
        <v>0</v>
      </c>
    </row>
    <row r="2654" spans="1:3" x14ac:dyDescent="0.35">
      <c r="A2654" t="s">
        <v>55</v>
      </c>
      <c r="B2654">
        <v>2005</v>
      </c>
      <c r="C2654">
        <v>0</v>
      </c>
    </row>
    <row r="2655" spans="1:3" x14ac:dyDescent="0.35">
      <c r="A2655" t="s">
        <v>55</v>
      </c>
      <c r="B2655">
        <v>2006</v>
      </c>
      <c r="C2655">
        <v>0</v>
      </c>
    </row>
    <row r="2656" spans="1:3" x14ac:dyDescent="0.35">
      <c r="A2656" t="s">
        <v>55</v>
      </c>
      <c r="B2656">
        <v>2007</v>
      </c>
      <c r="C2656">
        <v>0</v>
      </c>
    </row>
    <row r="2657" spans="1:3" x14ac:dyDescent="0.35">
      <c r="A2657" t="s">
        <v>55</v>
      </c>
      <c r="B2657">
        <v>2008</v>
      </c>
      <c r="C2657">
        <v>0</v>
      </c>
    </row>
    <row r="2658" spans="1:3" x14ac:dyDescent="0.35">
      <c r="A2658" t="s">
        <v>55</v>
      </c>
      <c r="B2658">
        <v>2009</v>
      </c>
      <c r="C2658">
        <v>0</v>
      </c>
    </row>
    <row r="2659" spans="1:3" x14ac:dyDescent="0.35">
      <c r="A2659" t="s">
        <v>55</v>
      </c>
      <c r="B2659">
        <v>2010</v>
      </c>
      <c r="C2659">
        <v>0</v>
      </c>
    </row>
    <row r="2660" spans="1:3" x14ac:dyDescent="0.35">
      <c r="A2660" t="s">
        <v>55</v>
      </c>
      <c r="B2660">
        <v>2011</v>
      </c>
      <c r="C2660">
        <v>0</v>
      </c>
    </row>
    <row r="2661" spans="1:3" x14ac:dyDescent="0.35">
      <c r="A2661" t="s">
        <v>55</v>
      </c>
      <c r="B2661">
        <v>2012</v>
      </c>
      <c r="C2661">
        <v>0</v>
      </c>
    </row>
    <row r="2662" spans="1:3" x14ac:dyDescent="0.35">
      <c r="A2662" t="s">
        <v>55</v>
      </c>
      <c r="B2662">
        <v>2013</v>
      </c>
      <c r="C2662">
        <v>0</v>
      </c>
    </row>
    <row r="2663" spans="1:3" x14ac:dyDescent="0.35">
      <c r="A2663" t="s">
        <v>55</v>
      </c>
      <c r="B2663">
        <v>2014</v>
      </c>
      <c r="C2663">
        <v>0</v>
      </c>
    </row>
    <row r="2664" spans="1:3" x14ac:dyDescent="0.35">
      <c r="A2664" t="s">
        <v>55</v>
      </c>
      <c r="B2664">
        <v>2015</v>
      </c>
      <c r="C2664">
        <v>0</v>
      </c>
    </row>
    <row r="2665" spans="1:3" x14ac:dyDescent="0.35">
      <c r="A2665" t="s">
        <v>55</v>
      </c>
      <c r="B2665">
        <v>2016</v>
      </c>
      <c r="C2665">
        <v>0</v>
      </c>
    </row>
    <row r="2666" spans="1:3" x14ac:dyDescent="0.35">
      <c r="A2666" t="s">
        <v>55</v>
      </c>
      <c r="B2666">
        <v>2017</v>
      </c>
      <c r="C2666">
        <v>0</v>
      </c>
    </row>
    <row r="2667" spans="1:3" x14ac:dyDescent="0.35">
      <c r="A2667" t="s">
        <v>55</v>
      </c>
      <c r="B2667">
        <v>2018</v>
      </c>
      <c r="C2667">
        <v>0</v>
      </c>
    </row>
    <row r="2668" spans="1:3" x14ac:dyDescent="0.35">
      <c r="A2668" t="s">
        <v>55</v>
      </c>
      <c r="B2668">
        <v>2019</v>
      </c>
      <c r="C2668">
        <v>0</v>
      </c>
    </row>
    <row r="2669" spans="1:3" x14ac:dyDescent="0.35">
      <c r="A2669" t="s">
        <v>55</v>
      </c>
      <c r="B2669">
        <v>2020</v>
      </c>
      <c r="C2669">
        <v>0</v>
      </c>
    </row>
    <row r="2670" spans="1:3" x14ac:dyDescent="0.35">
      <c r="A2670" t="s">
        <v>55</v>
      </c>
      <c r="B2670">
        <v>2021</v>
      </c>
      <c r="C2670">
        <v>0</v>
      </c>
    </row>
    <row r="2671" spans="1:3" x14ac:dyDescent="0.35">
      <c r="A2671" t="s">
        <v>55</v>
      </c>
      <c r="B2671">
        <v>2022</v>
      </c>
      <c r="C2671">
        <v>0</v>
      </c>
    </row>
    <row r="2672" spans="1:3" x14ac:dyDescent="0.35">
      <c r="A2672" t="s">
        <v>55</v>
      </c>
      <c r="B2672">
        <v>2023</v>
      </c>
      <c r="C2672">
        <v>0</v>
      </c>
    </row>
    <row r="2673" spans="1:3" x14ac:dyDescent="0.35">
      <c r="A2673" t="s">
        <v>55</v>
      </c>
      <c r="B2673">
        <v>2024</v>
      </c>
      <c r="C2673">
        <v>0</v>
      </c>
    </row>
    <row r="2674" spans="1:3" x14ac:dyDescent="0.35">
      <c r="A2674" t="s">
        <v>55</v>
      </c>
      <c r="B2674">
        <v>2025</v>
      </c>
      <c r="C2674">
        <v>0</v>
      </c>
    </row>
    <row r="2675" spans="1:3" x14ac:dyDescent="0.35">
      <c r="A2675" t="s">
        <v>56</v>
      </c>
      <c r="B2675">
        <v>2003</v>
      </c>
      <c r="C2675">
        <v>296.93396226415092</v>
      </c>
    </row>
    <row r="2676" spans="1:3" x14ac:dyDescent="0.35">
      <c r="A2676" t="s">
        <v>56</v>
      </c>
      <c r="B2676">
        <v>2004</v>
      </c>
      <c r="C2676">
        <v>62.047619047619044</v>
      </c>
    </row>
    <row r="2677" spans="1:3" x14ac:dyDescent="0.35">
      <c r="A2677" t="s">
        <v>56</v>
      </c>
      <c r="B2677">
        <v>2005</v>
      </c>
      <c r="C2677">
        <v>78.55714285714285</v>
      </c>
    </row>
    <row r="2678" spans="1:3" x14ac:dyDescent="0.35">
      <c r="A2678" t="s">
        <v>56</v>
      </c>
      <c r="B2678">
        <v>2006</v>
      </c>
      <c r="C2678">
        <v>76.587443946188344</v>
      </c>
    </row>
    <row r="2679" spans="1:3" x14ac:dyDescent="0.35">
      <c r="A2679" t="s">
        <v>56</v>
      </c>
      <c r="B2679">
        <v>2007</v>
      </c>
      <c r="C2679">
        <v>83.365638766519837</v>
      </c>
    </row>
    <row r="2680" spans="1:3" x14ac:dyDescent="0.35">
      <c r="A2680" t="s">
        <v>56</v>
      </c>
      <c r="B2680">
        <v>2008</v>
      </c>
      <c r="C2680">
        <v>89.057268722466958</v>
      </c>
    </row>
    <row r="2681" spans="1:3" x14ac:dyDescent="0.35">
      <c r="A2681" t="s">
        <v>56</v>
      </c>
      <c r="B2681">
        <v>2009</v>
      </c>
      <c r="C2681">
        <v>92.462555066079304</v>
      </c>
    </row>
    <row r="2682" spans="1:3" x14ac:dyDescent="0.35">
      <c r="A2682" t="s">
        <v>56</v>
      </c>
      <c r="B2682">
        <v>2010</v>
      </c>
      <c r="C2682">
        <v>94.277533039647579</v>
      </c>
    </row>
    <row r="2683" spans="1:3" x14ac:dyDescent="0.35">
      <c r="A2683" t="s">
        <v>56</v>
      </c>
      <c r="B2683">
        <v>2011</v>
      </c>
      <c r="C2683">
        <v>93.744493392070481</v>
      </c>
    </row>
    <row r="2684" spans="1:3" x14ac:dyDescent="0.35">
      <c r="A2684" t="s">
        <v>56</v>
      </c>
      <c r="B2684">
        <v>2012</v>
      </c>
      <c r="C2684">
        <v>126.87224669603525</v>
      </c>
    </row>
    <row r="2685" spans="1:3" x14ac:dyDescent="0.35">
      <c r="A2685" t="s">
        <v>56</v>
      </c>
      <c r="B2685">
        <v>2013</v>
      </c>
      <c r="C2685">
        <v>119.38325991189427</v>
      </c>
    </row>
    <row r="2686" spans="1:3" x14ac:dyDescent="0.35">
      <c r="A2686" t="s">
        <v>56</v>
      </c>
      <c r="B2686">
        <v>2014</v>
      </c>
      <c r="C2686">
        <v>125.63876651982379</v>
      </c>
    </row>
    <row r="2687" spans="1:3" x14ac:dyDescent="0.35">
      <c r="A2687" t="s">
        <v>56</v>
      </c>
      <c r="B2687">
        <v>2015</v>
      </c>
      <c r="C2687">
        <v>118.37004405286343</v>
      </c>
    </row>
    <row r="2688" spans="1:3" x14ac:dyDescent="0.35">
      <c r="A2688" t="s">
        <v>56</v>
      </c>
      <c r="B2688">
        <v>2016</v>
      </c>
      <c r="C2688">
        <v>123.65894744865882</v>
      </c>
    </row>
    <row r="2689" spans="1:3" x14ac:dyDescent="0.35">
      <c r="A2689" t="s">
        <v>56</v>
      </c>
      <c r="B2689">
        <v>2017</v>
      </c>
      <c r="C2689">
        <v>122.55291900664083</v>
      </c>
    </row>
    <row r="2690" spans="1:3" x14ac:dyDescent="0.35">
      <c r="A2690" t="s">
        <v>56</v>
      </c>
      <c r="B2690">
        <v>2018</v>
      </c>
      <c r="C2690">
        <v>128.60912695598049</v>
      </c>
    </row>
    <row r="2691" spans="1:3" x14ac:dyDescent="0.35">
      <c r="A2691" t="s">
        <v>57</v>
      </c>
      <c r="B2691">
        <v>1958</v>
      </c>
      <c r="C2691">
        <v>39.6</v>
      </c>
    </row>
    <row r="2692" spans="1:3" x14ac:dyDescent="0.35">
      <c r="A2692" t="s">
        <v>57</v>
      </c>
      <c r="B2692">
        <v>1960</v>
      </c>
      <c r="C2692">
        <v>38.299999999999997</v>
      </c>
    </row>
    <row r="2693" spans="1:3" x14ac:dyDescent="0.35">
      <c r="A2693" t="s">
        <v>57</v>
      </c>
      <c r="B2693">
        <v>1961</v>
      </c>
      <c r="C2693">
        <v>36.299999999999997</v>
      </c>
    </row>
    <row r="2694" spans="1:3" x14ac:dyDescent="0.35">
      <c r="A2694" t="s">
        <v>57</v>
      </c>
      <c r="B2694">
        <v>1962</v>
      </c>
      <c r="C2694">
        <v>38</v>
      </c>
    </row>
    <row r="2695" spans="1:3" x14ac:dyDescent="0.35">
      <c r="A2695" t="s">
        <v>57</v>
      </c>
      <c r="B2695">
        <v>1963</v>
      </c>
      <c r="C2695">
        <v>39</v>
      </c>
    </row>
    <row r="2696" spans="1:3" x14ac:dyDescent="0.35">
      <c r="A2696" t="s">
        <v>57</v>
      </c>
      <c r="B2696">
        <v>1964</v>
      </c>
      <c r="C2696">
        <v>42.5</v>
      </c>
    </row>
    <row r="2697" spans="1:3" x14ac:dyDescent="0.35">
      <c r="A2697" t="s">
        <v>57</v>
      </c>
      <c r="B2697">
        <v>1965</v>
      </c>
      <c r="C2697">
        <v>40.200000000000003</v>
      </c>
    </row>
    <row r="2698" spans="1:3" x14ac:dyDescent="0.35">
      <c r="A2698" t="s">
        <v>57</v>
      </c>
      <c r="B2698">
        <v>1966</v>
      </c>
      <c r="C2698">
        <v>37.200000000000003</v>
      </c>
    </row>
    <row r="2699" spans="1:3" x14ac:dyDescent="0.35">
      <c r="A2699" t="s">
        <v>57</v>
      </c>
      <c r="B2699">
        <v>1967</v>
      </c>
      <c r="C2699">
        <v>35.799999999999997</v>
      </c>
    </row>
    <row r="2700" spans="1:3" x14ac:dyDescent="0.35">
      <c r="A2700" t="s">
        <v>57</v>
      </c>
      <c r="B2700">
        <v>1968</v>
      </c>
      <c r="C2700">
        <v>37.299999999999997</v>
      </c>
    </row>
    <row r="2701" spans="1:3" x14ac:dyDescent="0.35">
      <c r="A2701" t="s">
        <v>57</v>
      </c>
      <c r="B2701">
        <v>1969</v>
      </c>
      <c r="C2701">
        <v>35.6</v>
      </c>
    </row>
    <row r="2702" spans="1:3" x14ac:dyDescent="0.35">
      <c r="A2702" t="s">
        <v>57</v>
      </c>
      <c r="B2702">
        <v>1970</v>
      </c>
      <c r="C2702">
        <v>35.9</v>
      </c>
    </row>
    <row r="2703" spans="1:3" x14ac:dyDescent="0.35">
      <c r="A2703" t="s">
        <v>57</v>
      </c>
      <c r="B2703">
        <v>1971</v>
      </c>
      <c r="C2703">
        <v>36.6</v>
      </c>
    </row>
    <row r="2704" spans="1:3" x14ac:dyDescent="0.35">
      <c r="A2704" t="s">
        <v>57</v>
      </c>
      <c r="B2704">
        <v>1972</v>
      </c>
      <c r="C2704">
        <v>39.5</v>
      </c>
    </row>
    <row r="2705" spans="1:3" x14ac:dyDescent="0.35">
      <c r="A2705" t="s">
        <v>57</v>
      </c>
      <c r="B2705">
        <v>1973</v>
      </c>
      <c r="C2705">
        <v>42</v>
      </c>
    </row>
    <row r="2706" spans="1:3" x14ac:dyDescent="0.35">
      <c r="A2706" t="s">
        <v>57</v>
      </c>
      <c r="B2706">
        <v>1974</v>
      </c>
      <c r="C2706">
        <v>57.6</v>
      </c>
    </row>
    <row r="2707" spans="1:3" x14ac:dyDescent="0.35">
      <c r="A2707" t="s">
        <v>57</v>
      </c>
      <c r="B2707">
        <v>1975</v>
      </c>
      <c r="C2707">
        <v>65.900000000000006</v>
      </c>
    </row>
    <row r="2708" spans="1:3" x14ac:dyDescent="0.35">
      <c r="A2708" t="s">
        <v>57</v>
      </c>
      <c r="B2708">
        <v>1976</v>
      </c>
      <c r="C2708">
        <v>76.2</v>
      </c>
    </row>
    <row r="2709" spans="1:3" x14ac:dyDescent="0.35">
      <c r="A2709" t="s">
        <v>57</v>
      </c>
      <c r="B2709">
        <v>1977</v>
      </c>
      <c r="C2709">
        <v>86.5</v>
      </c>
    </row>
    <row r="2710" spans="1:3" x14ac:dyDescent="0.35">
      <c r="A2710" t="s">
        <v>57</v>
      </c>
      <c r="B2710">
        <v>1978</v>
      </c>
      <c r="C2710">
        <v>103</v>
      </c>
    </row>
    <row r="2711" spans="1:3" x14ac:dyDescent="0.35">
      <c r="A2711" t="s">
        <v>57</v>
      </c>
      <c r="B2711">
        <v>1979</v>
      </c>
      <c r="C2711">
        <v>120</v>
      </c>
    </row>
    <row r="2712" spans="1:3" x14ac:dyDescent="0.35">
      <c r="A2712" t="s">
        <v>57</v>
      </c>
      <c r="B2712">
        <v>1980</v>
      </c>
      <c r="C2712">
        <v>105</v>
      </c>
    </row>
    <row r="2713" spans="1:3" x14ac:dyDescent="0.35">
      <c r="A2713" t="s">
        <v>57</v>
      </c>
      <c r="B2713">
        <v>1981</v>
      </c>
      <c r="C2713">
        <v>125</v>
      </c>
    </row>
    <row r="2714" spans="1:3" x14ac:dyDescent="0.35">
      <c r="A2714" t="s">
        <v>57</v>
      </c>
      <c r="B2714">
        <v>1982</v>
      </c>
      <c r="C2714">
        <v>126</v>
      </c>
    </row>
    <row r="2715" spans="1:3" x14ac:dyDescent="0.35">
      <c r="A2715" t="s">
        <v>57</v>
      </c>
      <c r="B2715">
        <v>1983</v>
      </c>
      <c r="C2715">
        <v>126</v>
      </c>
    </row>
    <row r="2716" spans="1:3" x14ac:dyDescent="0.35">
      <c r="A2716" t="s">
        <v>57</v>
      </c>
      <c r="B2716">
        <v>1984</v>
      </c>
      <c r="C2716">
        <v>139</v>
      </c>
    </row>
    <row r="2717" spans="1:3" x14ac:dyDescent="0.35">
      <c r="A2717" t="s">
        <v>57</v>
      </c>
      <c r="B2717">
        <v>1985</v>
      </c>
      <c r="C2717">
        <v>61.042019398511215</v>
      </c>
    </row>
    <row r="2718" spans="1:3" x14ac:dyDescent="0.35">
      <c r="A2718" t="s">
        <v>57</v>
      </c>
      <c r="B2718">
        <v>1986</v>
      </c>
      <c r="C2718">
        <v>82.29092424070268</v>
      </c>
    </row>
    <row r="2719" spans="1:3" x14ac:dyDescent="0.35">
      <c r="A2719" t="s">
        <v>57</v>
      </c>
      <c r="B2719">
        <v>1987</v>
      </c>
      <c r="C2719">
        <v>59.327500286103685</v>
      </c>
    </row>
    <row r="2720" spans="1:3" x14ac:dyDescent="0.35">
      <c r="A2720" t="s">
        <v>57</v>
      </c>
      <c r="B2720">
        <v>1988</v>
      </c>
      <c r="C2720">
        <v>47.296368764437581</v>
      </c>
    </row>
    <row r="2721" spans="1:3" x14ac:dyDescent="0.35">
      <c r="A2721" t="s">
        <v>57</v>
      </c>
      <c r="B2721">
        <v>1989</v>
      </c>
      <c r="C2721">
        <v>53.517350157728707</v>
      </c>
    </row>
    <row r="2722" spans="1:3" x14ac:dyDescent="0.35">
      <c r="A2722" t="s">
        <v>57</v>
      </c>
      <c r="B2722">
        <v>1990</v>
      </c>
      <c r="C2722">
        <v>47.798904437380507</v>
      </c>
    </row>
    <row r="2723" spans="1:3" x14ac:dyDescent="0.35">
      <c r="A2723" t="s">
        <v>57</v>
      </c>
      <c r="B2723">
        <v>1991</v>
      </c>
      <c r="C2723">
        <v>33.894298950553086</v>
      </c>
    </row>
    <row r="2724" spans="1:3" x14ac:dyDescent="0.35">
      <c r="A2724" t="s">
        <v>57</v>
      </c>
      <c r="B2724">
        <v>1992</v>
      </c>
      <c r="C2724">
        <v>63.127240844827853</v>
      </c>
    </row>
    <row r="2725" spans="1:3" x14ac:dyDescent="0.35">
      <c r="A2725" t="s">
        <v>57</v>
      </c>
      <c r="B2725">
        <v>1993</v>
      </c>
      <c r="C2725">
        <v>95.993941210811158</v>
      </c>
    </row>
    <row r="2726" spans="1:3" x14ac:dyDescent="0.35">
      <c r="A2726" t="s">
        <v>57</v>
      </c>
      <c r="B2726">
        <v>1994</v>
      </c>
      <c r="C2726">
        <v>100.9566796604889</v>
      </c>
    </row>
    <row r="2727" spans="1:3" x14ac:dyDescent="0.35">
      <c r="A2727" t="s">
        <v>57</v>
      </c>
      <c r="B2727">
        <v>1995</v>
      </c>
      <c r="C2727">
        <v>84.44996837630724</v>
      </c>
    </row>
    <row r="2728" spans="1:3" x14ac:dyDescent="0.35">
      <c r="A2728" t="s">
        <v>57</v>
      </c>
      <c r="B2728">
        <v>1996</v>
      </c>
      <c r="C2728">
        <v>107.00129223353129</v>
      </c>
    </row>
    <row r="2729" spans="1:3" x14ac:dyDescent="0.35">
      <c r="A2729" t="s">
        <v>57</v>
      </c>
      <c r="B2729">
        <v>1997</v>
      </c>
      <c r="C2729">
        <v>150.6641898286075</v>
      </c>
    </row>
    <row r="2730" spans="1:3" x14ac:dyDescent="0.35">
      <c r="A2730" t="s">
        <v>57</v>
      </c>
      <c r="B2730">
        <v>1998</v>
      </c>
      <c r="C2730">
        <v>159.05309630173056</v>
      </c>
    </row>
    <row r="2731" spans="1:3" x14ac:dyDescent="0.35">
      <c r="A2731" t="s">
        <v>57</v>
      </c>
      <c r="B2731">
        <v>1999</v>
      </c>
      <c r="C2731">
        <v>175.00046778227542</v>
      </c>
    </row>
    <row r="2732" spans="1:3" x14ac:dyDescent="0.35">
      <c r="A2732" t="s">
        <v>57</v>
      </c>
      <c r="B2732">
        <v>2000</v>
      </c>
      <c r="C2732">
        <v>246.81084374048129</v>
      </c>
    </row>
    <row r="2733" spans="1:3" x14ac:dyDescent="0.35">
      <c r="A2733" t="s">
        <v>57</v>
      </c>
      <c r="B2733">
        <v>2001</v>
      </c>
      <c r="C2733">
        <v>305.90032799263787</v>
      </c>
    </row>
    <row r="2734" spans="1:3" x14ac:dyDescent="0.35">
      <c r="A2734" t="s">
        <v>57</v>
      </c>
      <c r="B2734">
        <v>2002</v>
      </c>
      <c r="C2734">
        <v>271.66331717697125</v>
      </c>
    </row>
    <row r="2735" spans="1:3" x14ac:dyDescent="0.35">
      <c r="A2735" t="s">
        <v>57</v>
      </c>
      <c r="B2735">
        <v>2003</v>
      </c>
      <c r="C2735">
        <v>155.80249556448607</v>
      </c>
    </row>
    <row r="2736" spans="1:3" x14ac:dyDescent="0.35">
      <c r="A2736" t="s">
        <v>57</v>
      </c>
      <c r="B2736">
        <v>2004</v>
      </c>
      <c r="C2736">
        <v>152.87846684466066</v>
      </c>
    </row>
    <row r="2737" spans="1:3" x14ac:dyDescent="0.35">
      <c r="A2737" t="s">
        <v>57</v>
      </c>
      <c r="B2737">
        <v>2005</v>
      </c>
      <c r="C2737">
        <v>272.20048114425811</v>
      </c>
    </row>
    <row r="2738" spans="1:3" x14ac:dyDescent="0.35">
      <c r="A2738" t="s">
        <v>57</v>
      </c>
      <c r="B2738">
        <v>2006</v>
      </c>
      <c r="C2738">
        <v>259.24032513675166</v>
      </c>
    </row>
    <row r="2739" spans="1:3" x14ac:dyDescent="0.35">
      <c r="A2739" t="s">
        <v>57</v>
      </c>
      <c r="B2739">
        <v>2007</v>
      </c>
      <c r="C2739">
        <v>274.77568076273042</v>
      </c>
    </row>
    <row r="2740" spans="1:3" x14ac:dyDescent="0.35">
      <c r="A2740" t="s">
        <v>57</v>
      </c>
      <c r="B2740">
        <v>2008</v>
      </c>
      <c r="C2740">
        <v>333.53888160706242</v>
      </c>
    </row>
    <row r="2741" spans="1:3" x14ac:dyDescent="0.35">
      <c r="A2741" t="s">
        <v>57</v>
      </c>
      <c r="B2741">
        <v>2009</v>
      </c>
      <c r="C2741">
        <v>320.85528920837015</v>
      </c>
    </row>
    <row r="2742" spans="1:3" x14ac:dyDescent="0.35">
      <c r="A2742" t="s">
        <v>57</v>
      </c>
      <c r="B2742">
        <v>2010</v>
      </c>
      <c r="C2742">
        <v>354.85678137380518</v>
      </c>
    </row>
    <row r="2743" spans="1:3" x14ac:dyDescent="0.35">
      <c r="A2743" t="s">
        <v>57</v>
      </c>
      <c r="B2743">
        <v>2011</v>
      </c>
      <c r="C2743">
        <v>348.55983008819931</v>
      </c>
    </row>
    <row r="2744" spans="1:3" x14ac:dyDescent="0.35">
      <c r="A2744" t="s">
        <v>57</v>
      </c>
      <c r="B2744">
        <v>2012</v>
      </c>
      <c r="C2744">
        <v>396.18717856806916</v>
      </c>
    </row>
    <row r="2745" spans="1:3" x14ac:dyDescent="0.35">
      <c r="A2745" t="s">
        <v>57</v>
      </c>
      <c r="B2745">
        <v>2013</v>
      </c>
      <c r="C2745">
        <v>383.38025406559967</v>
      </c>
    </row>
    <row r="2746" spans="1:3" x14ac:dyDescent="0.35">
      <c r="A2746" t="s">
        <v>57</v>
      </c>
      <c r="B2746">
        <v>2014</v>
      </c>
      <c r="C2746">
        <v>437.57246584416151</v>
      </c>
    </row>
    <row r="2747" spans="1:3" x14ac:dyDescent="0.35">
      <c r="A2747" t="s">
        <v>57</v>
      </c>
      <c r="B2747">
        <v>2015</v>
      </c>
      <c r="C2747">
        <v>458.00715752636086</v>
      </c>
    </row>
    <row r="2748" spans="1:3" x14ac:dyDescent="0.35">
      <c r="A2748" t="s">
        <v>57</v>
      </c>
      <c r="B2748">
        <v>2016</v>
      </c>
      <c r="C2748">
        <v>479.72217276698552</v>
      </c>
    </row>
    <row r="2749" spans="1:3" x14ac:dyDescent="0.35">
      <c r="A2749" t="s">
        <v>57</v>
      </c>
      <c r="B2749">
        <v>2017</v>
      </c>
      <c r="C2749">
        <v>533.07315782147111</v>
      </c>
    </row>
    <row r="2750" spans="1:3" x14ac:dyDescent="0.35">
      <c r="A2750" t="s">
        <v>57</v>
      </c>
      <c r="B2750">
        <v>2018</v>
      </c>
      <c r="C2750">
        <v>593.67872208990468</v>
      </c>
    </row>
    <row r="2751" spans="1:3" x14ac:dyDescent="0.35">
      <c r="A2751" t="s">
        <v>57</v>
      </c>
      <c r="B2751">
        <v>2019</v>
      </c>
      <c r="C2751">
        <v>613.29902333469795</v>
      </c>
    </row>
    <row r="2752" spans="1:3" x14ac:dyDescent="0.35">
      <c r="A2752" t="s">
        <v>57</v>
      </c>
      <c r="B2752">
        <v>2020</v>
      </c>
      <c r="C2752">
        <v>599.0525253980835</v>
      </c>
    </row>
    <row r="2753" spans="1:3" x14ac:dyDescent="0.35">
      <c r="A2753" t="s">
        <v>57</v>
      </c>
      <c r="B2753">
        <v>2021</v>
      </c>
      <c r="C2753">
        <v>611.46771311446696</v>
      </c>
    </row>
    <row r="2754" spans="1:3" x14ac:dyDescent="0.35">
      <c r="A2754" t="s">
        <v>57</v>
      </c>
      <c r="B2754">
        <v>2022</v>
      </c>
      <c r="C2754">
        <v>773.36037651625611</v>
      </c>
    </row>
    <row r="2755" spans="1:3" x14ac:dyDescent="0.35">
      <c r="A2755" t="s">
        <v>57</v>
      </c>
      <c r="B2755">
        <v>2023</v>
      </c>
      <c r="C2755">
        <v>946.42577318119004</v>
      </c>
    </row>
    <row r="2756" spans="1:3" x14ac:dyDescent="0.35">
      <c r="A2756" t="s">
        <v>57</v>
      </c>
      <c r="B2756">
        <v>2024</v>
      </c>
      <c r="C2756">
        <v>1012.0702603424604</v>
      </c>
    </row>
    <row r="2757" spans="1:3" x14ac:dyDescent="0.35">
      <c r="A2757" t="s">
        <v>57</v>
      </c>
      <c r="B2757">
        <v>2025</v>
      </c>
      <c r="C2757">
        <v>1037.25344008817</v>
      </c>
    </row>
    <row r="2758" spans="1:3" x14ac:dyDescent="0.35">
      <c r="A2758" t="s">
        <v>58</v>
      </c>
      <c r="B2758">
        <v>1953</v>
      </c>
      <c r="C2758">
        <v>4.4322348468607498</v>
      </c>
    </row>
    <row r="2759" spans="1:3" x14ac:dyDescent="0.35">
      <c r="A2759" t="s">
        <v>58</v>
      </c>
      <c r="B2759">
        <v>1956</v>
      </c>
      <c r="C2759">
        <v>4.9862642027183437</v>
      </c>
    </row>
    <row r="2760" spans="1:3" x14ac:dyDescent="0.35">
      <c r="A2760" t="s">
        <v>58</v>
      </c>
      <c r="B2760">
        <v>1957</v>
      </c>
      <c r="C2760">
        <v>5.5020846374823105</v>
      </c>
    </row>
    <row r="2761" spans="1:3" x14ac:dyDescent="0.35">
      <c r="A2761" t="s">
        <v>58</v>
      </c>
      <c r="B2761">
        <v>1958</v>
      </c>
      <c r="C2761">
        <v>5.4447712558418688</v>
      </c>
    </row>
    <row r="2762" spans="1:3" x14ac:dyDescent="0.35">
      <c r="A2762" t="s">
        <v>58</v>
      </c>
      <c r="B2762">
        <v>1959</v>
      </c>
      <c r="C2762">
        <v>4.4704437679543769</v>
      </c>
    </row>
    <row r="2763" spans="1:3" x14ac:dyDescent="0.35">
      <c r="A2763" t="s">
        <v>58</v>
      </c>
      <c r="B2763">
        <v>1960</v>
      </c>
      <c r="C2763">
        <v>4.3844736954937158</v>
      </c>
    </row>
    <row r="2764" spans="1:3" x14ac:dyDescent="0.35">
      <c r="A2764" t="s">
        <v>58</v>
      </c>
      <c r="B2764">
        <v>1961</v>
      </c>
      <c r="C2764">
        <v>4.4417870771341565</v>
      </c>
    </row>
    <row r="2765" spans="1:3" x14ac:dyDescent="0.35">
      <c r="A2765" t="s">
        <v>58</v>
      </c>
      <c r="B2765">
        <v>1962</v>
      </c>
      <c r="C2765">
        <v>6.218501907987819</v>
      </c>
    </row>
    <row r="2766" spans="1:3" x14ac:dyDescent="0.35">
      <c r="A2766" t="s">
        <v>58</v>
      </c>
      <c r="B2766">
        <v>1963</v>
      </c>
      <c r="C2766">
        <v>6.1038751447069375</v>
      </c>
    </row>
    <row r="2767" spans="1:3" x14ac:dyDescent="0.35">
      <c r="A2767" t="s">
        <v>58</v>
      </c>
      <c r="B2767">
        <v>1964</v>
      </c>
      <c r="C2767">
        <v>5.7241739913390175</v>
      </c>
    </row>
    <row r="2768" spans="1:3" x14ac:dyDescent="0.35">
      <c r="A2768" t="s">
        <v>58</v>
      </c>
      <c r="B2768">
        <v>1965</v>
      </c>
      <c r="C2768">
        <v>6.4835762980748575</v>
      </c>
    </row>
    <row r="2769" spans="1:3" x14ac:dyDescent="0.35">
      <c r="A2769" t="s">
        <v>58</v>
      </c>
      <c r="B2769">
        <v>1966</v>
      </c>
      <c r="C2769">
        <v>6.5910388886506821</v>
      </c>
    </row>
    <row r="2770" spans="1:3" x14ac:dyDescent="0.35">
      <c r="A2770" t="s">
        <v>58</v>
      </c>
      <c r="B2770">
        <v>1967</v>
      </c>
      <c r="C2770">
        <v>6.7773073789821154</v>
      </c>
    </row>
    <row r="2771" spans="1:3" x14ac:dyDescent="0.35">
      <c r="A2771" t="s">
        <v>58</v>
      </c>
      <c r="B2771">
        <v>1968</v>
      </c>
      <c r="C2771">
        <v>6.6196955794709034</v>
      </c>
    </row>
    <row r="2772" spans="1:3" x14ac:dyDescent="0.35">
      <c r="A2772" t="s">
        <v>58</v>
      </c>
      <c r="B2772">
        <v>1969</v>
      </c>
      <c r="C2772">
        <v>7.5080529948977341</v>
      </c>
    </row>
    <row r="2773" spans="1:3" x14ac:dyDescent="0.35">
      <c r="A2773" t="s">
        <v>58</v>
      </c>
      <c r="B2773">
        <v>1970</v>
      </c>
      <c r="C2773">
        <v>7.1355160142348701</v>
      </c>
    </row>
    <row r="2774" spans="1:3" x14ac:dyDescent="0.35">
      <c r="A2774" t="s">
        <v>58</v>
      </c>
      <c r="B2774">
        <v>1971</v>
      </c>
      <c r="C2774">
        <v>8.5165836298932316</v>
      </c>
    </row>
    <row r="2775" spans="1:3" x14ac:dyDescent="0.35">
      <c r="A2775" t="s">
        <v>58</v>
      </c>
      <c r="B2775">
        <v>1972</v>
      </c>
      <c r="C2775">
        <v>11.14061209964412</v>
      </c>
    </row>
    <row r="2776" spans="1:3" x14ac:dyDescent="0.35">
      <c r="A2776" t="s">
        <v>58</v>
      </c>
      <c r="B2776">
        <v>1973</v>
      </c>
      <c r="C2776">
        <v>12.475644128113871</v>
      </c>
    </row>
    <row r="2777" spans="1:3" x14ac:dyDescent="0.35">
      <c r="A2777" t="s">
        <v>58</v>
      </c>
      <c r="B2777">
        <v>1974</v>
      </c>
      <c r="C2777">
        <v>13.350320284697498</v>
      </c>
    </row>
    <row r="2778" spans="1:3" x14ac:dyDescent="0.35">
      <c r="A2778" t="s">
        <v>58</v>
      </c>
      <c r="B2778">
        <v>1975</v>
      </c>
      <c r="C2778">
        <v>15.652099644128105</v>
      </c>
    </row>
    <row r="2779" spans="1:3" x14ac:dyDescent="0.35">
      <c r="A2779" t="s">
        <v>58</v>
      </c>
      <c r="B2779">
        <v>1976</v>
      </c>
      <c r="C2779">
        <v>20.531871886120985</v>
      </c>
    </row>
    <row r="2780" spans="1:3" x14ac:dyDescent="0.35">
      <c r="A2780" t="s">
        <v>58</v>
      </c>
      <c r="B2780">
        <v>1977</v>
      </c>
      <c r="C2780">
        <v>28.5880996441281</v>
      </c>
    </row>
    <row r="2781" spans="1:3" x14ac:dyDescent="0.35">
      <c r="A2781" t="s">
        <v>58</v>
      </c>
      <c r="B2781">
        <v>1978</v>
      </c>
      <c r="C2781">
        <v>34.987046263345178</v>
      </c>
    </row>
    <row r="2782" spans="1:3" x14ac:dyDescent="0.35">
      <c r="A2782" t="s">
        <v>58</v>
      </c>
      <c r="B2782">
        <v>1979</v>
      </c>
      <c r="C2782">
        <v>54.644241992882527</v>
      </c>
    </row>
    <row r="2783" spans="1:3" x14ac:dyDescent="0.35">
      <c r="A2783" t="s">
        <v>58</v>
      </c>
      <c r="B2783">
        <v>1980</v>
      </c>
      <c r="C2783">
        <v>62.055971530249089</v>
      </c>
    </row>
    <row r="2784" spans="1:3" x14ac:dyDescent="0.35">
      <c r="A2784" t="s">
        <v>58</v>
      </c>
      <c r="B2784">
        <v>1981</v>
      </c>
      <c r="C2784">
        <v>78.352569395017753</v>
      </c>
    </row>
    <row r="2785" spans="1:3" x14ac:dyDescent="0.35">
      <c r="A2785" t="s">
        <v>58</v>
      </c>
      <c r="B2785">
        <v>1982</v>
      </c>
      <c r="C2785">
        <v>94.372953736654765</v>
      </c>
    </row>
    <row r="2786" spans="1:3" x14ac:dyDescent="0.35">
      <c r="A2786" t="s">
        <v>58</v>
      </c>
      <c r="B2786">
        <v>1983</v>
      </c>
      <c r="C2786">
        <v>124.5262633451957</v>
      </c>
    </row>
    <row r="2787" spans="1:3" x14ac:dyDescent="0.35">
      <c r="A2787" t="s">
        <v>58</v>
      </c>
      <c r="B2787">
        <v>1984</v>
      </c>
      <c r="C2787">
        <v>235.93238434163692</v>
      </c>
    </row>
    <row r="2788" spans="1:3" x14ac:dyDescent="0.35">
      <c r="A2788" t="s">
        <v>58</v>
      </c>
      <c r="B2788">
        <v>1985</v>
      </c>
      <c r="C2788">
        <v>250.43359430604974</v>
      </c>
    </row>
    <row r="2789" spans="1:3" x14ac:dyDescent="0.35">
      <c r="A2789" t="s">
        <v>58</v>
      </c>
      <c r="B2789">
        <v>1986</v>
      </c>
      <c r="C2789">
        <v>163.31124555160139</v>
      </c>
    </row>
    <row r="2790" spans="1:3" x14ac:dyDescent="0.35">
      <c r="A2790" t="s">
        <v>58</v>
      </c>
      <c r="B2790">
        <v>1987</v>
      </c>
      <c r="C2790">
        <v>176.89174377224194</v>
      </c>
    </row>
    <row r="2791" spans="1:3" x14ac:dyDescent="0.35">
      <c r="A2791" t="s">
        <v>58</v>
      </c>
      <c r="B2791">
        <v>1988</v>
      </c>
      <c r="C2791">
        <v>178.96334519572949</v>
      </c>
    </row>
    <row r="2792" spans="1:3" x14ac:dyDescent="0.35">
      <c r="A2792" t="s">
        <v>58</v>
      </c>
      <c r="B2792">
        <v>1989</v>
      </c>
      <c r="C2792">
        <v>213.02967971530236</v>
      </c>
    </row>
    <row r="2793" spans="1:3" x14ac:dyDescent="0.35">
      <c r="A2793" t="s">
        <v>58</v>
      </c>
      <c r="B2793">
        <v>1990</v>
      </c>
      <c r="C2793">
        <v>163.88669039145904</v>
      </c>
    </row>
    <row r="2794" spans="1:3" x14ac:dyDescent="0.35">
      <c r="A2794" t="s">
        <v>58</v>
      </c>
      <c r="B2794">
        <v>1991</v>
      </c>
      <c r="C2794">
        <v>145.12718861209962</v>
      </c>
    </row>
    <row r="2795" spans="1:3" x14ac:dyDescent="0.35">
      <c r="A2795" t="s">
        <v>58</v>
      </c>
      <c r="B2795">
        <v>1992</v>
      </c>
      <c r="C2795">
        <v>134.19373665480424</v>
      </c>
    </row>
    <row r="2796" spans="1:3" x14ac:dyDescent="0.35">
      <c r="A2796" t="s">
        <v>58</v>
      </c>
      <c r="B2796">
        <v>1993</v>
      </c>
      <c r="C2796">
        <v>116.47003558718859</v>
      </c>
    </row>
    <row r="2797" spans="1:3" x14ac:dyDescent="0.35">
      <c r="A2797" t="s">
        <v>58</v>
      </c>
      <c r="B2797">
        <v>1994</v>
      </c>
      <c r="C2797">
        <v>109.33451957295375</v>
      </c>
    </row>
    <row r="2798" spans="1:3" x14ac:dyDescent="0.35">
      <c r="A2798" t="s">
        <v>58</v>
      </c>
      <c r="B2798">
        <v>1995</v>
      </c>
      <c r="C2798">
        <v>111.63629893238432</v>
      </c>
    </row>
    <row r="2799" spans="1:3" x14ac:dyDescent="0.35">
      <c r="A2799" t="s">
        <v>58</v>
      </c>
      <c r="B2799">
        <v>1996</v>
      </c>
      <c r="C2799">
        <v>110.83067615658361</v>
      </c>
    </row>
    <row r="2800" spans="1:3" x14ac:dyDescent="0.35">
      <c r="A2800" t="s">
        <v>58</v>
      </c>
      <c r="B2800">
        <v>1997</v>
      </c>
      <c r="C2800">
        <v>112.21174377224199</v>
      </c>
    </row>
    <row r="2801" spans="1:3" x14ac:dyDescent="0.35">
      <c r="A2801" t="s">
        <v>58</v>
      </c>
      <c r="B2801">
        <v>1998</v>
      </c>
      <c r="C2801">
        <v>110.83067615658362</v>
      </c>
    </row>
    <row r="2802" spans="1:3" x14ac:dyDescent="0.35">
      <c r="A2802" t="s">
        <v>58</v>
      </c>
      <c r="B2802">
        <v>1999</v>
      </c>
      <c r="C2802">
        <v>114.74370106761567</v>
      </c>
    </row>
    <row r="2803" spans="1:3" x14ac:dyDescent="0.35">
      <c r="A2803" t="s">
        <v>58</v>
      </c>
      <c r="B2803">
        <v>2000</v>
      </c>
      <c r="C2803">
        <v>110.37032028469751</v>
      </c>
    </row>
    <row r="2804" spans="1:3" x14ac:dyDescent="0.35">
      <c r="A2804" t="s">
        <v>58</v>
      </c>
      <c r="B2804">
        <v>2001</v>
      </c>
      <c r="C2804">
        <v>150.65145907473308</v>
      </c>
    </row>
    <row r="2805" spans="1:3" x14ac:dyDescent="0.35">
      <c r="A2805" t="s">
        <v>58</v>
      </c>
      <c r="B2805">
        <v>2002</v>
      </c>
      <c r="C2805">
        <v>161.69999999999999</v>
      </c>
    </row>
    <row r="2806" spans="1:3" x14ac:dyDescent="0.35">
      <c r="A2806" t="s">
        <v>58</v>
      </c>
      <c r="B2806">
        <v>2003</v>
      </c>
      <c r="C2806">
        <v>126.6</v>
      </c>
    </row>
    <row r="2807" spans="1:3" x14ac:dyDescent="0.35">
      <c r="A2807" t="s">
        <v>58</v>
      </c>
      <c r="B2807">
        <v>2004</v>
      </c>
      <c r="C2807">
        <v>128</v>
      </c>
    </row>
    <row r="2808" spans="1:3" x14ac:dyDescent="0.35">
      <c r="A2808" t="s">
        <v>58</v>
      </c>
      <c r="B2808">
        <v>2005</v>
      </c>
      <c r="C2808">
        <v>132.9</v>
      </c>
    </row>
    <row r="2809" spans="1:3" x14ac:dyDescent="0.35">
      <c r="A2809" t="s">
        <v>58</v>
      </c>
      <c r="B2809">
        <v>2006</v>
      </c>
      <c r="C2809">
        <v>142.1</v>
      </c>
    </row>
    <row r="2810" spans="1:3" x14ac:dyDescent="0.35">
      <c r="A2810" t="s">
        <v>58</v>
      </c>
      <c r="B2810">
        <v>2007</v>
      </c>
      <c r="C2810">
        <v>165.6</v>
      </c>
    </row>
    <row r="2811" spans="1:3" x14ac:dyDescent="0.35">
      <c r="A2811" t="s">
        <v>58</v>
      </c>
      <c r="B2811">
        <v>2008</v>
      </c>
      <c r="C2811">
        <v>173</v>
      </c>
    </row>
    <row r="2812" spans="1:3" x14ac:dyDescent="0.35">
      <c r="A2812" t="s">
        <v>58</v>
      </c>
      <c r="B2812">
        <v>2009</v>
      </c>
      <c r="C2812">
        <v>189.89999999999998</v>
      </c>
    </row>
    <row r="2813" spans="1:3" x14ac:dyDescent="0.35">
      <c r="A2813" t="s">
        <v>58</v>
      </c>
      <c r="B2813">
        <v>2010</v>
      </c>
      <c r="C2813">
        <v>201</v>
      </c>
    </row>
    <row r="2814" spans="1:3" x14ac:dyDescent="0.35">
      <c r="A2814" t="s">
        <v>58</v>
      </c>
      <c r="B2814">
        <v>2011</v>
      </c>
      <c r="C2814">
        <v>220.7</v>
      </c>
    </row>
    <row r="2815" spans="1:3" x14ac:dyDescent="0.35">
      <c r="A2815" t="s">
        <v>58</v>
      </c>
      <c r="B2815">
        <v>2012</v>
      </c>
      <c r="C2815">
        <v>224.3</v>
      </c>
    </row>
    <row r="2816" spans="1:3" x14ac:dyDescent="0.35">
      <c r="A2816" t="s">
        <v>58</v>
      </c>
      <c r="B2816">
        <v>2013</v>
      </c>
      <c r="C2816">
        <v>237.5</v>
      </c>
    </row>
    <row r="2817" spans="1:3" x14ac:dyDescent="0.35">
      <c r="A2817" t="s">
        <v>58</v>
      </c>
      <c r="B2817">
        <v>2014</v>
      </c>
      <c r="C2817">
        <v>233.89999999999998</v>
      </c>
    </row>
    <row r="2818" spans="1:3" x14ac:dyDescent="0.35">
      <c r="A2818" t="s">
        <v>58</v>
      </c>
      <c r="B2818">
        <v>2015</v>
      </c>
      <c r="C2818">
        <v>247.7</v>
      </c>
    </row>
    <row r="2819" spans="1:3" x14ac:dyDescent="0.35">
      <c r="A2819" t="s">
        <v>58</v>
      </c>
      <c r="B2819">
        <v>2016</v>
      </c>
      <c r="C2819">
        <v>247.6</v>
      </c>
    </row>
    <row r="2820" spans="1:3" x14ac:dyDescent="0.35">
      <c r="A2820" t="s">
        <v>58</v>
      </c>
      <c r="B2820">
        <v>2017</v>
      </c>
      <c r="C2820">
        <v>260.89999999999998</v>
      </c>
    </row>
    <row r="2821" spans="1:3" x14ac:dyDescent="0.35">
      <c r="A2821" t="s">
        <v>58</v>
      </c>
      <c r="B2821">
        <v>2018</v>
      </c>
      <c r="C2821">
        <v>294.61</v>
      </c>
    </row>
    <row r="2822" spans="1:3" x14ac:dyDescent="0.35">
      <c r="A2822" t="s">
        <v>58</v>
      </c>
      <c r="B2822">
        <v>2019</v>
      </c>
      <c r="C2822">
        <v>317.2</v>
      </c>
    </row>
    <row r="2823" spans="1:3" x14ac:dyDescent="0.35">
      <c r="A2823" t="s">
        <v>58</v>
      </c>
      <c r="B2823">
        <v>2020</v>
      </c>
      <c r="C2823">
        <v>343.9</v>
      </c>
    </row>
    <row r="2824" spans="1:3" x14ac:dyDescent="0.35">
      <c r="A2824" t="s">
        <v>58</v>
      </c>
      <c r="B2824">
        <v>2021</v>
      </c>
      <c r="C2824">
        <v>351.57799999999997</v>
      </c>
    </row>
    <row r="2825" spans="1:3" x14ac:dyDescent="0.35">
      <c r="A2825" t="s">
        <v>58</v>
      </c>
      <c r="B2825">
        <v>2022</v>
      </c>
      <c r="C2825">
        <v>458.49400000000003</v>
      </c>
    </row>
    <row r="2826" spans="1:3" x14ac:dyDescent="0.35">
      <c r="A2826" t="s">
        <v>58</v>
      </c>
      <c r="B2826">
        <v>2023</v>
      </c>
      <c r="C2826">
        <v>454.76666666666671</v>
      </c>
    </row>
    <row r="2827" spans="1:3" x14ac:dyDescent="0.35">
      <c r="A2827" t="s">
        <v>58</v>
      </c>
      <c r="B2827">
        <v>2024</v>
      </c>
      <c r="C2827">
        <v>490.6</v>
      </c>
    </row>
    <row r="2828" spans="1:3" x14ac:dyDescent="0.35">
      <c r="A2828" t="s">
        <v>58</v>
      </c>
      <c r="B2828">
        <v>2025</v>
      </c>
      <c r="C2828">
        <v>490</v>
      </c>
    </row>
    <row r="2829" spans="1:3" x14ac:dyDescent="0.35">
      <c r="A2829" t="s">
        <v>59</v>
      </c>
      <c r="B2829">
        <v>1955</v>
      </c>
      <c r="C2829">
        <v>10.654777070063695</v>
      </c>
    </row>
    <row r="2830" spans="1:3" x14ac:dyDescent="0.35">
      <c r="A2830" t="s">
        <v>59</v>
      </c>
      <c r="B2830">
        <v>1956</v>
      </c>
      <c r="C2830">
        <v>11.434394904458603</v>
      </c>
    </row>
    <row r="2831" spans="1:3" x14ac:dyDescent="0.35">
      <c r="A2831" t="s">
        <v>59</v>
      </c>
      <c r="B2831">
        <v>1957</v>
      </c>
      <c r="C2831">
        <v>12.214012738853505</v>
      </c>
    </row>
    <row r="2832" spans="1:3" x14ac:dyDescent="0.35">
      <c r="A2832" t="s">
        <v>59</v>
      </c>
      <c r="B2832">
        <v>1958</v>
      </c>
      <c r="C2832">
        <v>12.08407643312102</v>
      </c>
    </row>
    <row r="2833" spans="1:3" x14ac:dyDescent="0.35">
      <c r="A2833" t="s">
        <v>59</v>
      </c>
      <c r="B2833">
        <v>1959</v>
      </c>
      <c r="C2833">
        <v>13.123566878980892</v>
      </c>
    </row>
    <row r="2834" spans="1:3" x14ac:dyDescent="0.35">
      <c r="A2834" t="s">
        <v>59</v>
      </c>
      <c r="B2834">
        <v>1960</v>
      </c>
      <c r="C2834">
        <v>12.08407643312102</v>
      </c>
    </row>
    <row r="2835" spans="1:3" x14ac:dyDescent="0.35">
      <c r="A2835" t="s">
        <v>59</v>
      </c>
      <c r="B2835">
        <v>1961</v>
      </c>
      <c r="C2835">
        <v>12.08407643312102</v>
      </c>
    </row>
    <row r="2836" spans="1:3" x14ac:dyDescent="0.35">
      <c r="A2836" t="s">
        <v>59</v>
      </c>
      <c r="B2836">
        <v>1962</v>
      </c>
      <c r="C2836">
        <v>11.954140127388536</v>
      </c>
    </row>
    <row r="2837" spans="1:3" x14ac:dyDescent="0.35">
      <c r="A2837" t="s">
        <v>59</v>
      </c>
      <c r="B2837">
        <v>1963</v>
      </c>
      <c r="C2837">
        <v>14.812738853503188</v>
      </c>
    </row>
    <row r="2838" spans="1:3" x14ac:dyDescent="0.35">
      <c r="A2838" t="s">
        <v>59</v>
      </c>
      <c r="B2838">
        <v>1964</v>
      </c>
      <c r="C2838">
        <v>12.993630573248408</v>
      </c>
    </row>
    <row r="2839" spans="1:3" x14ac:dyDescent="0.35">
      <c r="A2839" t="s">
        <v>59</v>
      </c>
      <c r="B2839">
        <v>1965</v>
      </c>
      <c r="C2839">
        <v>18.580891719745225</v>
      </c>
    </row>
    <row r="2840" spans="1:3" x14ac:dyDescent="0.35">
      <c r="A2840" t="s">
        <v>59</v>
      </c>
      <c r="B2840">
        <v>1966</v>
      </c>
      <c r="C2840">
        <v>19.100636942675159</v>
      </c>
    </row>
    <row r="2841" spans="1:3" x14ac:dyDescent="0.35">
      <c r="A2841" t="s">
        <v>59</v>
      </c>
      <c r="B2841">
        <v>1967</v>
      </c>
      <c r="C2841">
        <v>21.179617834394904</v>
      </c>
    </row>
    <row r="2842" spans="1:3" x14ac:dyDescent="0.35">
      <c r="A2842" t="s">
        <v>59</v>
      </c>
      <c r="B2842">
        <v>1968</v>
      </c>
      <c r="C2842">
        <v>20.399999999999999</v>
      </c>
    </row>
    <row r="2843" spans="1:3" x14ac:dyDescent="0.35">
      <c r="A2843" t="s">
        <v>59</v>
      </c>
      <c r="B2843">
        <v>1969</v>
      </c>
      <c r="C2843">
        <v>17.600000000000001</v>
      </c>
    </row>
    <row r="2844" spans="1:3" x14ac:dyDescent="0.35">
      <c r="A2844" t="s">
        <v>59</v>
      </c>
      <c r="B2844">
        <v>1970</v>
      </c>
      <c r="C2844">
        <v>32.299999999999997</v>
      </c>
    </row>
    <row r="2845" spans="1:3" x14ac:dyDescent="0.35">
      <c r="A2845" t="s">
        <v>59</v>
      </c>
      <c r="B2845">
        <v>1971</v>
      </c>
      <c r="C2845">
        <v>22.2</v>
      </c>
    </row>
    <row r="2846" spans="1:3" x14ac:dyDescent="0.35">
      <c r="A2846" t="s">
        <v>59</v>
      </c>
      <c r="B2846">
        <v>1972</v>
      </c>
      <c r="C2846">
        <v>24</v>
      </c>
    </row>
    <row r="2847" spans="1:3" x14ac:dyDescent="0.35">
      <c r="A2847" t="s">
        <v>59</v>
      </c>
      <c r="B2847">
        <v>1973</v>
      </c>
      <c r="C2847">
        <v>23.4</v>
      </c>
    </row>
    <row r="2848" spans="1:3" x14ac:dyDescent="0.35">
      <c r="A2848" t="s">
        <v>59</v>
      </c>
      <c r="B2848">
        <v>1974</v>
      </c>
      <c r="C2848">
        <v>28.4</v>
      </c>
    </row>
    <row r="2849" spans="1:3" x14ac:dyDescent="0.35">
      <c r="A2849" t="s">
        <v>59</v>
      </c>
      <c r="B2849">
        <v>1975</v>
      </c>
      <c r="C2849">
        <v>44.9</v>
      </c>
    </row>
    <row r="2850" spans="1:3" x14ac:dyDescent="0.35">
      <c r="A2850" t="s">
        <v>59</v>
      </c>
      <c r="B2850">
        <v>1976</v>
      </c>
      <c r="C2850">
        <v>55.5</v>
      </c>
    </row>
    <row r="2851" spans="1:3" x14ac:dyDescent="0.35">
      <c r="A2851" t="s">
        <v>59</v>
      </c>
      <c r="B2851">
        <v>1977</v>
      </c>
      <c r="C2851">
        <v>75.2</v>
      </c>
    </row>
    <row r="2852" spans="1:3" x14ac:dyDescent="0.35">
      <c r="A2852" t="s">
        <v>59</v>
      </c>
      <c r="B2852">
        <v>1978</v>
      </c>
      <c r="C2852">
        <v>71.7</v>
      </c>
    </row>
    <row r="2853" spans="1:3" x14ac:dyDescent="0.35">
      <c r="A2853" t="s">
        <v>59</v>
      </c>
      <c r="B2853">
        <v>1979</v>
      </c>
      <c r="C2853">
        <v>90.2</v>
      </c>
    </row>
    <row r="2854" spans="1:3" x14ac:dyDescent="0.35">
      <c r="A2854" t="s">
        <v>59</v>
      </c>
      <c r="B2854">
        <v>1980</v>
      </c>
      <c r="C2854">
        <v>103.76</v>
      </c>
    </row>
    <row r="2855" spans="1:3" x14ac:dyDescent="0.35">
      <c r="A2855" t="s">
        <v>59</v>
      </c>
      <c r="B2855">
        <v>1981</v>
      </c>
      <c r="C2855">
        <v>162.63999999999999</v>
      </c>
    </row>
    <row r="2856" spans="1:3" x14ac:dyDescent="0.35">
      <c r="A2856" t="s">
        <v>59</v>
      </c>
      <c r="B2856">
        <v>1982</v>
      </c>
      <c r="C2856">
        <v>176.59</v>
      </c>
    </row>
    <row r="2857" spans="1:3" x14ac:dyDescent="0.35">
      <c r="A2857" t="s">
        <v>59</v>
      </c>
      <c r="B2857">
        <v>1983</v>
      </c>
      <c r="C2857">
        <v>184.25</v>
      </c>
    </row>
    <row r="2858" spans="1:3" x14ac:dyDescent="0.35">
      <c r="A2858" t="s">
        <v>59</v>
      </c>
      <c r="B2858">
        <v>1984</v>
      </c>
      <c r="C2858">
        <v>207.48</v>
      </c>
    </row>
    <row r="2859" spans="1:3" x14ac:dyDescent="0.35">
      <c r="A2859" t="s">
        <v>59</v>
      </c>
      <c r="B2859">
        <v>1985</v>
      </c>
      <c r="C2859">
        <v>224.42</v>
      </c>
    </row>
    <row r="2860" spans="1:3" x14ac:dyDescent="0.35">
      <c r="A2860" t="s">
        <v>59</v>
      </c>
      <c r="B2860">
        <v>1986</v>
      </c>
      <c r="C2860">
        <v>140.85333333333335</v>
      </c>
    </row>
    <row r="2861" spans="1:3" x14ac:dyDescent="0.35">
      <c r="A2861" t="s">
        <v>59</v>
      </c>
      <c r="B2861">
        <v>1987</v>
      </c>
      <c r="C2861">
        <v>124.02800000000001</v>
      </c>
    </row>
    <row r="2862" spans="1:3" x14ac:dyDescent="0.35">
      <c r="A2862" t="s">
        <v>59</v>
      </c>
      <c r="B2862">
        <v>1988</v>
      </c>
      <c r="C2862">
        <v>146.58838439749886</v>
      </c>
    </row>
    <row r="2863" spans="1:3" x14ac:dyDescent="0.35">
      <c r="A2863" t="s">
        <v>59</v>
      </c>
      <c r="B2863">
        <v>1989</v>
      </c>
      <c r="C2863">
        <v>151.62706134681758</v>
      </c>
    </row>
    <row r="2864" spans="1:3" x14ac:dyDescent="0.35">
      <c r="A2864" t="s">
        <v>59</v>
      </c>
      <c r="B2864">
        <v>1990</v>
      </c>
      <c r="C2864">
        <v>132.19610500784705</v>
      </c>
    </row>
    <row r="2865" spans="1:3" x14ac:dyDescent="0.35">
      <c r="A2865" t="s">
        <v>59</v>
      </c>
      <c r="B2865">
        <v>1991</v>
      </c>
      <c r="C2865">
        <v>119.3108604699257</v>
      </c>
    </row>
    <row r="2866" spans="1:3" x14ac:dyDescent="0.35">
      <c r="A2866" t="s">
        <v>59</v>
      </c>
      <c r="B2866">
        <v>1992</v>
      </c>
      <c r="C2866">
        <v>153.75302429297784</v>
      </c>
    </row>
    <row r="2867" spans="1:3" x14ac:dyDescent="0.35">
      <c r="A2867" t="s">
        <v>59</v>
      </c>
      <c r="B2867">
        <v>1993</v>
      </c>
      <c r="C2867">
        <v>144.44507538116463</v>
      </c>
    </row>
    <row r="2868" spans="1:3" x14ac:dyDescent="0.35">
      <c r="A2868" t="s">
        <v>59</v>
      </c>
      <c r="B2868">
        <v>1994</v>
      </c>
      <c r="C2868">
        <v>153.01154541660873</v>
      </c>
    </row>
    <row r="2869" spans="1:3" x14ac:dyDescent="0.35">
      <c r="A2869" t="s">
        <v>59</v>
      </c>
      <c r="B2869">
        <v>1995</v>
      </c>
      <c r="C2869">
        <v>158.34865749268303</v>
      </c>
    </row>
    <row r="2870" spans="1:3" x14ac:dyDescent="0.35">
      <c r="A2870" t="s">
        <v>59</v>
      </c>
      <c r="B2870">
        <v>1996</v>
      </c>
      <c r="C2870">
        <v>141.37046294214463</v>
      </c>
    </row>
    <row r="2871" spans="1:3" x14ac:dyDescent="0.35">
      <c r="A2871" t="s">
        <v>59</v>
      </c>
      <c r="B2871">
        <v>1997</v>
      </c>
      <c r="C2871">
        <v>132.112832569696</v>
      </c>
    </row>
    <row r="2872" spans="1:3" x14ac:dyDescent="0.35">
      <c r="A2872" t="s">
        <v>59</v>
      </c>
      <c r="B2872">
        <v>1998</v>
      </c>
      <c r="C2872">
        <v>139.80436771363563</v>
      </c>
    </row>
    <row r="2873" spans="1:3" x14ac:dyDescent="0.35">
      <c r="A2873" t="s">
        <v>59</v>
      </c>
      <c r="B2873">
        <v>1999</v>
      </c>
      <c r="C2873">
        <v>123.75416519420874</v>
      </c>
    </row>
    <row r="2874" spans="1:3" x14ac:dyDescent="0.35">
      <c r="A2874" t="s">
        <v>59</v>
      </c>
      <c r="B2874">
        <v>2000</v>
      </c>
      <c r="C2874">
        <v>157.84809278695789</v>
      </c>
    </row>
    <row r="2875" spans="1:3" x14ac:dyDescent="0.35">
      <c r="A2875" t="s">
        <v>59</v>
      </c>
      <c r="B2875">
        <v>2001</v>
      </c>
      <c r="C2875">
        <v>196.76557753999126</v>
      </c>
    </row>
    <row r="2876" spans="1:3" x14ac:dyDescent="0.35">
      <c r="A2876" t="s">
        <v>59</v>
      </c>
      <c r="B2876">
        <v>2002</v>
      </c>
      <c r="C2876">
        <v>158.36811925872419</v>
      </c>
    </row>
    <row r="2877" spans="1:3" x14ac:dyDescent="0.35">
      <c r="A2877" t="s">
        <v>59</v>
      </c>
      <c r="B2877">
        <v>2003</v>
      </c>
      <c r="C2877">
        <v>178.77179395152911</v>
      </c>
    </row>
    <row r="2878" spans="1:3" x14ac:dyDescent="0.35">
      <c r="A2878" t="s">
        <v>59</v>
      </c>
      <c r="B2878">
        <v>2004</v>
      </c>
      <c r="C2878">
        <v>114.89334927326496</v>
      </c>
    </row>
    <row r="2879" spans="1:3" x14ac:dyDescent="0.35">
      <c r="A2879" t="s">
        <v>59</v>
      </c>
      <c r="B2879">
        <v>2005</v>
      </c>
      <c r="C2879">
        <v>104.4676798612512</v>
      </c>
    </row>
    <row r="2880" spans="1:3" x14ac:dyDescent="0.35">
      <c r="A2880" t="s">
        <v>59</v>
      </c>
      <c r="B2880">
        <v>2006</v>
      </c>
      <c r="C2880">
        <v>130.54692915477932</v>
      </c>
    </row>
    <row r="2881" spans="1:3" x14ac:dyDescent="0.35">
      <c r="A2881" t="s">
        <v>59</v>
      </c>
      <c r="B2881">
        <v>2007</v>
      </c>
      <c r="C2881">
        <v>135.92587283176729</v>
      </c>
    </row>
    <row r="2882" spans="1:3" x14ac:dyDescent="0.35">
      <c r="A2882" t="s">
        <v>59</v>
      </c>
      <c r="B2882">
        <v>2008</v>
      </c>
      <c r="C2882">
        <v>166.49404830404112</v>
      </c>
    </row>
    <row r="2883" spans="1:3" x14ac:dyDescent="0.35">
      <c r="A2883" t="s">
        <v>59</v>
      </c>
      <c r="B2883">
        <v>2009</v>
      </c>
      <c r="C2883">
        <v>147.41054406265471</v>
      </c>
    </row>
    <row r="2884" spans="1:3" x14ac:dyDescent="0.35">
      <c r="A2884" t="s">
        <v>59</v>
      </c>
      <c r="B2884">
        <v>2010</v>
      </c>
      <c r="C2884">
        <v>169.79884012574198</v>
      </c>
    </row>
    <row r="2885" spans="1:3" x14ac:dyDescent="0.35">
      <c r="A2885" t="s">
        <v>59</v>
      </c>
      <c r="B2885">
        <v>2011</v>
      </c>
      <c r="C2885">
        <v>197.43315068422771</v>
      </c>
    </row>
    <row r="2886" spans="1:3" x14ac:dyDescent="0.35">
      <c r="A2886" t="s">
        <v>59</v>
      </c>
      <c r="B2886">
        <v>2012</v>
      </c>
      <c r="C2886">
        <v>224.36654364973492</v>
      </c>
    </row>
    <row r="2887" spans="1:3" x14ac:dyDescent="0.35">
      <c r="A2887" t="s">
        <v>59</v>
      </c>
      <c r="B2887">
        <v>2013</v>
      </c>
      <c r="C2887">
        <v>249.75785337815219</v>
      </c>
    </row>
    <row r="2888" spans="1:3" x14ac:dyDescent="0.35">
      <c r="A2888" t="s">
        <v>59</v>
      </c>
      <c r="B2888">
        <v>2014</v>
      </c>
      <c r="C2888">
        <v>245.67287588320764</v>
      </c>
    </row>
    <row r="2889" spans="1:3" x14ac:dyDescent="0.35">
      <c r="A2889" t="s">
        <v>59</v>
      </c>
      <c r="B2889">
        <v>2015</v>
      </c>
      <c r="C2889">
        <v>252.4554806353909</v>
      </c>
    </row>
    <row r="2890" spans="1:3" x14ac:dyDescent="0.35">
      <c r="A2890" t="s">
        <v>59</v>
      </c>
      <c r="B2890">
        <v>2016</v>
      </c>
      <c r="C2890">
        <v>290.91270400085006</v>
      </c>
    </row>
    <row r="2891" spans="1:3" x14ac:dyDescent="0.35">
      <c r="A2891" t="s">
        <v>59</v>
      </c>
      <c r="B2891">
        <v>2017</v>
      </c>
      <c r="C2891">
        <v>275.01479854494897</v>
      </c>
    </row>
    <row r="2892" spans="1:3" x14ac:dyDescent="0.35">
      <c r="A2892" t="s">
        <v>59</v>
      </c>
      <c r="B2892">
        <v>2018</v>
      </c>
      <c r="C2892">
        <v>273.11497684402644</v>
      </c>
    </row>
    <row r="2893" spans="1:3" x14ac:dyDescent="0.35">
      <c r="A2893" t="s">
        <v>59</v>
      </c>
      <c r="B2893">
        <v>2019</v>
      </c>
      <c r="C2893">
        <v>331.88255164349749</v>
      </c>
    </row>
    <row r="2894" spans="1:3" x14ac:dyDescent="0.35">
      <c r="A2894" t="s">
        <v>59</v>
      </c>
      <c r="B2894">
        <v>2020</v>
      </c>
      <c r="C2894">
        <v>342.76648102577388</v>
      </c>
    </row>
    <row r="2895" spans="1:3" x14ac:dyDescent="0.35">
      <c r="A2895" t="s">
        <v>59</v>
      </c>
      <c r="B2895">
        <v>2021</v>
      </c>
      <c r="C2895">
        <v>337.81598329365858</v>
      </c>
    </row>
    <row r="2896" spans="1:3" x14ac:dyDescent="0.35">
      <c r="A2896" t="s">
        <v>59</v>
      </c>
      <c r="B2896">
        <v>2022</v>
      </c>
      <c r="C2896">
        <v>441.49359653276326</v>
      </c>
    </row>
    <row r="2897" spans="1:3" x14ac:dyDescent="0.35">
      <c r="A2897" t="s">
        <v>59</v>
      </c>
      <c r="B2897">
        <v>2023</v>
      </c>
      <c r="C2897">
        <v>437.62912479814355</v>
      </c>
    </row>
    <row r="2898" spans="1:3" x14ac:dyDescent="0.35">
      <c r="A2898" t="s">
        <v>59</v>
      </c>
      <c r="B2898">
        <v>2024</v>
      </c>
      <c r="C2898">
        <v>453.46175100655245</v>
      </c>
    </row>
    <row r="2899" spans="1:3" x14ac:dyDescent="0.35">
      <c r="A2899" t="s">
        <v>59</v>
      </c>
      <c r="B2899">
        <v>2025</v>
      </c>
      <c r="C2899">
        <v>632.87227398115863</v>
      </c>
    </row>
    <row r="2900" spans="1:3" x14ac:dyDescent="0.35">
      <c r="A2900" t="s">
        <v>60</v>
      </c>
      <c r="B2900">
        <v>1988</v>
      </c>
      <c r="C2900">
        <v>1.9308000000000001</v>
      </c>
    </row>
    <row r="2901" spans="1:3" x14ac:dyDescent="0.35">
      <c r="A2901" t="s">
        <v>60</v>
      </c>
      <c r="B2901">
        <v>1989</v>
      </c>
      <c r="C2901">
        <v>2.0726499999999999</v>
      </c>
    </row>
    <row r="2902" spans="1:3" x14ac:dyDescent="0.35">
      <c r="A2902" t="s">
        <v>60</v>
      </c>
      <c r="B2902">
        <v>1990</v>
      </c>
      <c r="C2902">
        <v>2.4308000000000001</v>
      </c>
    </row>
    <row r="2903" spans="1:3" x14ac:dyDescent="0.35">
      <c r="A2903" t="s">
        <v>60</v>
      </c>
      <c r="B2903">
        <v>1991</v>
      </c>
      <c r="C2903">
        <v>2.4157423473319448</v>
      </c>
    </row>
    <row r="2904" spans="1:3" x14ac:dyDescent="0.35">
      <c r="A2904" t="s">
        <v>60</v>
      </c>
      <c r="B2904">
        <v>1992</v>
      </c>
      <c r="C2904">
        <v>1.700399013637472</v>
      </c>
    </row>
    <row r="2905" spans="1:3" x14ac:dyDescent="0.35">
      <c r="A2905" t="s">
        <v>60</v>
      </c>
      <c r="B2905">
        <v>1993</v>
      </c>
      <c r="C2905">
        <v>1.4494443361279004</v>
      </c>
    </row>
    <row r="2906" spans="1:3" x14ac:dyDescent="0.35">
      <c r="A2906" t="s">
        <v>60</v>
      </c>
      <c r="B2906">
        <v>1994</v>
      </c>
      <c r="C2906">
        <v>1.5278257978723406</v>
      </c>
    </row>
    <row r="2907" spans="1:3" x14ac:dyDescent="0.35">
      <c r="A2907" t="s">
        <v>60</v>
      </c>
      <c r="B2907">
        <v>1995</v>
      </c>
      <c r="C2907">
        <v>1.9119506012693832</v>
      </c>
    </row>
    <row r="2908" spans="1:3" x14ac:dyDescent="0.35">
      <c r="A2908" t="s">
        <v>60</v>
      </c>
      <c r="B2908">
        <v>2013</v>
      </c>
      <c r="C2908">
        <v>4.4808433879087399</v>
      </c>
    </row>
    <row r="2909" spans="1:3" x14ac:dyDescent="0.35">
      <c r="A2909" t="s">
        <v>60</v>
      </c>
      <c r="B2909">
        <v>2014</v>
      </c>
      <c r="C2909">
        <v>5.313386887964036</v>
      </c>
    </row>
    <row r="2910" spans="1:3" x14ac:dyDescent="0.35">
      <c r="A2910" t="s">
        <v>60</v>
      </c>
      <c r="B2910">
        <v>2015</v>
      </c>
      <c r="C2910">
        <v>5.6797534137421719</v>
      </c>
    </row>
    <row r="2911" spans="1:3" x14ac:dyDescent="0.35">
      <c r="A2911" t="s">
        <v>60</v>
      </c>
      <c r="B2911">
        <v>2016</v>
      </c>
      <c r="C2911">
        <v>6.5642161213098476</v>
      </c>
    </row>
    <row r="2912" spans="1:3" x14ac:dyDescent="0.35">
      <c r="A2912" t="s">
        <v>60</v>
      </c>
      <c r="B2912">
        <v>2017</v>
      </c>
      <c r="C2912">
        <v>6.6504882856401233</v>
      </c>
    </row>
    <row r="2913" spans="1:3" x14ac:dyDescent="0.35">
      <c r="A2913" t="s">
        <v>60</v>
      </c>
      <c r="B2913">
        <v>2018</v>
      </c>
      <c r="C2913">
        <v>9.6829783365757951</v>
      </c>
    </row>
    <row r="2914" spans="1:3" x14ac:dyDescent="0.35">
      <c r="A2914" t="s">
        <v>60</v>
      </c>
      <c r="B2914">
        <v>2019</v>
      </c>
      <c r="C2914">
        <v>12.036259720805988</v>
      </c>
    </row>
    <row r="2915" spans="1:3" x14ac:dyDescent="0.35">
      <c r="A2915" t="s">
        <v>60</v>
      </c>
      <c r="B2915">
        <v>2020</v>
      </c>
      <c r="C2915">
        <v>15.984954354416267</v>
      </c>
    </row>
    <row r="2916" spans="1:3" x14ac:dyDescent="0.35">
      <c r="A2916" t="s">
        <v>60</v>
      </c>
      <c r="B2916">
        <v>2021</v>
      </c>
      <c r="C2916">
        <v>29.316357785817008</v>
      </c>
    </row>
    <row r="2917" spans="1:3" x14ac:dyDescent="0.35">
      <c r="A2917" t="s">
        <v>60</v>
      </c>
      <c r="B2917">
        <v>2022</v>
      </c>
      <c r="C2917">
        <v>12.889784459732923</v>
      </c>
    </row>
    <row r="2918" spans="1:3" x14ac:dyDescent="0.35">
      <c r="A2918" t="s">
        <v>60</v>
      </c>
      <c r="B2918">
        <v>2023</v>
      </c>
      <c r="C2918">
        <v>11.786377442106629</v>
      </c>
    </row>
    <row r="2919" spans="1:3" x14ac:dyDescent="0.35">
      <c r="A2919" t="s">
        <v>60</v>
      </c>
      <c r="B2919">
        <v>2024</v>
      </c>
      <c r="C2919">
        <v>19.781061318649925</v>
      </c>
    </row>
    <row r="2920" spans="1:3" x14ac:dyDescent="0.35">
      <c r="A2920" t="s">
        <v>60</v>
      </c>
      <c r="B2920">
        <v>2025</v>
      </c>
      <c r="C2920">
        <v>39.144696976504072</v>
      </c>
    </row>
    <row r="2921" spans="1:3" x14ac:dyDescent="0.35">
      <c r="A2921" t="s">
        <v>61</v>
      </c>
      <c r="B2921">
        <v>1951</v>
      </c>
      <c r="C2921">
        <v>2.3062499999999999</v>
      </c>
    </row>
    <row r="2922" spans="1:3" x14ac:dyDescent="0.35">
      <c r="A2922" t="s">
        <v>61</v>
      </c>
      <c r="B2922">
        <v>1952</v>
      </c>
      <c r="C2922">
        <v>2.28125</v>
      </c>
    </row>
    <row r="2923" spans="1:3" x14ac:dyDescent="0.35">
      <c r="A2923" t="s">
        <v>61</v>
      </c>
      <c r="B2923">
        <v>1953</v>
      </c>
      <c r="C2923">
        <v>2.6037499999999998</v>
      </c>
    </row>
    <row r="2924" spans="1:3" x14ac:dyDescent="0.35">
      <c r="A2924" t="s">
        <v>61</v>
      </c>
      <c r="B2924">
        <v>1954</v>
      </c>
      <c r="C2924">
        <v>2.5487500000000001</v>
      </c>
    </row>
    <row r="2925" spans="1:3" x14ac:dyDescent="0.35">
      <c r="A2925" t="s">
        <v>61</v>
      </c>
      <c r="B2925">
        <v>1955</v>
      </c>
      <c r="C2925">
        <v>3.0225</v>
      </c>
    </row>
    <row r="2926" spans="1:3" x14ac:dyDescent="0.35">
      <c r="A2926" t="s">
        <v>61</v>
      </c>
      <c r="B2926">
        <v>1956</v>
      </c>
      <c r="C2926">
        <v>3.2262499999999998</v>
      </c>
    </row>
    <row r="2927" spans="1:3" x14ac:dyDescent="0.35">
      <c r="A2927" t="s">
        <v>61</v>
      </c>
      <c r="B2927">
        <v>1957</v>
      </c>
      <c r="C2927">
        <v>4.9037499999999987</v>
      </c>
    </row>
    <row r="2928" spans="1:3" x14ac:dyDescent="0.35">
      <c r="A2928" t="s">
        <v>61</v>
      </c>
      <c r="B2928">
        <v>1958</v>
      </c>
      <c r="C2928">
        <v>5.45</v>
      </c>
    </row>
    <row r="2929" spans="1:3" x14ac:dyDescent="0.35">
      <c r="A2929" t="s">
        <v>61</v>
      </c>
      <c r="B2929">
        <v>1959</v>
      </c>
      <c r="C2929">
        <v>4.9800000000000004</v>
      </c>
    </row>
    <row r="2930" spans="1:3" x14ac:dyDescent="0.35">
      <c r="A2930" t="s">
        <v>61</v>
      </c>
      <c r="B2930">
        <v>1960</v>
      </c>
      <c r="C2930">
        <v>3.92</v>
      </c>
    </row>
    <row r="2931" spans="1:3" x14ac:dyDescent="0.35">
      <c r="A2931" t="s">
        <v>61</v>
      </c>
      <c r="B2931">
        <v>1961</v>
      </c>
      <c r="C2931">
        <v>3.83</v>
      </c>
    </row>
    <row r="2932" spans="1:3" x14ac:dyDescent="0.35">
      <c r="A2932" t="s">
        <v>61</v>
      </c>
      <c r="B2932">
        <v>1962</v>
      </c>
      <c r="C2932">
        <v>3.83</v>
      </c>
    </row>
    <row r="2933" spans="1:3" x14ac:dyDescent="0.35">
      <c r="A2933" t="s">
        <v>61</v>
      </c>
      <c r="B2933">
        <v>1963</v>
      </c>
      <c r="C2933">
        <v>3.82</v>
      </c>
    </row>
    <row r="2934" spans="1:3" x14ac:dyDescent="0.35">
      <c r="A2934" t="s">
        <v>61</v>
      </c>
      <c r="B2934">
        <v>1964</v>
      </c>
      <c r="C2934">
        <v>5.85</v>
      </c>
    </row>
    <row r="2935" spans="1:3" x14ac:dyDescent="0.35">
      <c r="A2935" t="s">
        <v>61</v>
      </c>
      <c r="B2935">
        <v>1965</v>
      </c>
      <c r="C2935">
        <v>6.25</v>
      </c>
    </row>
    <row r="2936" spans="1:3" x14ac:dyDescent="0.35">
      <c r="A2936" t="s">
        <v>61</v>
      </c>
      <c r="B2936">
        <v>1966</v>
      </c>
      <c r="C2936">
        <v>6.5</v>
      </c>
    </row>
    <row r="2937" spans="1:3" x14ac:dyDescent="0.35">
      <c r="A2937" t="s">
        <v>61</v>
      </c>
      <c r="B2937">
        <v>1967</v>
      </c>
      <c r="C2937">
        <v>6.8</v>
      </c>
    </row>
    <row r="2938" spans="1:3" x14ac:dyDescent="0.35">
      <c r="A2938" t="s">
        <v>61</v>
      </c>
      <c r="B2938">
        <v>1968</v>
      </c>
      <c r="C2938">
        <v>7.05</v>
      </c>
    </row>
    <row r="2939" spans="1:3" x14ac:dyDescent="0.35">
      <c r="A2939" t="s">
        <v>61</v>
      </c>
      <c r="B2939">
        <v>1969</v>
      </c>
      <c r="C2939">
        <v>7.2</v>
      </c>
    </row>
    <row r="2940" spans="1:3" x14ac:dyDescent="0.35">
      <c r="A2940" t="s">
        <v>61</v>
      </c>
      <c r="B2940">
        <v>1970</v>
      </c>
      <c r="C2940">
        <v>9.9</v>
      </c>
    </row>
    <row r="2941" spans="1:3" x14ac:dyDescent="0.35">
      <c r="A2941" t="s">
        <v>61</v>
      </c>
      <c r="B2941">
        <v>1971</v>
      </c>
      <c r="C2941">
        <v>11.4</v>
      </c>
    </row>
    <row r="2942" spans="1:3" x14ac:dyDescent="0.35">
      <c r="A2942" t="s">
        <v>61</v>
      </c>
      <c r="B2942">
        <v>1972</v>
      </c>
      <c r="C2942">
        <v>15.449922750386248</v>
      </c>
    </row>
    <row r="2943" spans="1:3" x14ac:dyDescent="0.35">
      <c r="A2943" t="s">
        <v>61</v>
      </c>
      <c r="B2943">
        <v>1973</v>
      </c>
      <c r="C2943">
        <v>15.95</v>
      </c>
    </row>
    <row r="2944" spans="1:3" x14ac:dyDescent="0.35">
      <c r="A2944" t="s">
        <v>61</v>
      </c>
      <c r="B2944">
        <v>1974</v>
      </c>
      <c r="C2944">
        <v>16.899999999999999</v>
      </c>
    </row>
    <row r="2945" spans="1:3" x14ac:dyDescent="0.35">
      <c r="A2945" t="s">
        <v>61</v>
      </c>
      <c r="B2945">
        <v>1975</v>
      </c>
      <c r="C2945">
        <v>21.4</v>
      </c>
    </row>
    <row r="2946" spans="1:3" x14ac:dyDescent="0.35">
      <c r="A2946" t="s">
        <v>61</v>
      </c>
      <c r="B2946">
        <v>1976</v>
      </c>
      <c r="C2946">
        <v>23.7</v>
      </c>
    </row>
    <row r="2947" spans="1:3" x14ac:dyDescent="0.35">
      <c r="A2947" t="s">
        <v>61</v>
      </c>
      <c r="B2947">
        <v>1977</v>
      </c>
      <c r="C2947">
        <v>31.8</v>
      </c>
    </row>
    <row r="2948" spans="1:3" x14ac:dyDescent="0.35">
      <c r="A2948" t="s">
        <v>61</v>
      </c>
      <c r="B2948">
        <v>1978</v>
      </c>
      <c r="C2948">
        <v>43.1</v>
      </c>
    </row>
    <row r="2949" spans="1:3" x14ac:dyDescent="0.35">
      <c r="A2949" t="s">
        <v>61</v>
      </c>
      <c r="B2949">
        <v>1979</v>
      </c>
      <c r="C2949">
        <v>49.55</v>
      </c>
    </row>
    <row r="2950" spans="1:3" x14ac:dyDescent="0.35">
      <c r="A2950" t="s">
        <v>61</v>
      </c>
      <c r="B2950">
        <v>1980</v>
      </c>
      <c r="C2950">
        <v>57</v>
      </c>
    </row>
    <row r="2951" spans="1:3" x14ac:dyDescent="0.35">
      <c r="A2951" t="s">
        <v>61</v>
      </c>
      <c r="B2951">
        <v>1981</v>
      </c>
      <c r="C2951">
        <v>60.5</v>
      </c>
    </row>
    <row r="2952" spans="1:3" x14ac:dyDescent="0.35">
      <c r="A2952" t="s">
        <v>61</v>
      </c>
      <c r="B2952">
        <v>1982</v>
      </c>
      <c r="C2952">
        <v>67</v>
      </c>
    </row>
    <row r="2953" spans="1:3" x14ac:dyDescent="0.35">
      <c r="A2953" t="s">
        <v>61</v>
      </c>
      <c r="B2953">
        <v>1983</v>
      </c>
      <c r="C2953">
        <v>70</v>
      </c>
    </row>
    <row r="2954" spans="1:3" x14ac:dyDescent="0.35">
      <c r="A2954" t="s">
        <v>61</v>
      </c>
      <c r="B2954">
        <v>1984</v>
      </c>
      <c r="C2954">
        <v>81</v>
      </c>
    </row>
    <row r="2955" spans="1:3" x14ac:dyDescent="0.35">
      <c r="A2955" t="s">
        <v>61</v>
      </c>
      <c r="B2955">
        <v>1985</v>
      </c>
      <c r="C2955">
        <v>94</v>
      </c>
    </row>
    <row r="2956" spans="1:3" x14ac:dyDescent="0.35">
      <c r="A2956" t="s">
        <v>61</v>
      </c>
      <c r="B2956">
        <v>1986</v>
      </c>
      <c r="C2956">
        <v>105.5</v>
      </c>
    </row>
    <row r="2957" spans="1:3" x14ac:dyDescent="0.35">
      <c r="A2957" t="s">
        <v>61</v>
      </c>
      <c r="B2957">
        <v>1987</v>
      </c>
      <c r="C2957">
        <v>122.5</v>
      </c>
    </row>
    <row r="2958" spans="1:3" x14ac:dyDescent="0.35">
      <c r="A2958" t="s">
        <v>61</v>
      </c>
      <c r="B2958">
        <v>1988</v>
      </c>
      <c r="C2958">
        <v>132</v>
      </c>
    </row>
    <row r="2959" spans="1:3" x14ac:dyDescent="0.35">
      <c r="A2959" t="s">
        <v>61</v>
      </c>
      <c r="B2959">
        <v>1989</v>
      </c>
      <c r="C2959">
        <v>138</v>
      </c>
    </row>
    <row r="2960" spans="1:3" x14ac:dyDescent="0.35">
      <c r="A2960" t="s">
        <v>61</v>
      </c>
      <c r="B2960">
        <v>1990</v>
      </c>
      <c r="C2960">
        <v>67.120949031853272</v>
      </c>
    </row>
    <row r="2961" spans="1:3" x14ac:dyDescent="0.35">
      <c r="A2961" t="s">
        <v>61</v>
      </c>
      <c r="B2961">
        <v>1991</v>
      </c>
      <c r="C2961">
        <v>47.398089405586575</v>
      </c>
    </row>
    <row r="2962" spans="1:3" x14ac:dyDescent="0.35">
      <c r="A2962" t="s">
        <v>61</v>
      </c>
      <c r="B2962">
        <v>1993</v>
      </c>
      <c r="C2962">
        <v>40.592869129331625</v>
      </c>
    </row>
    <row r="2963" spans="1:3" x14ac:dyDescent="0.35">
      <c r="A2963" t="s">
        <v>61</v>
      </c>
      <c r="B2963">
        <v>2000</v>
      </c>
      <c r="C2963">
        <v>52.462396894711311</v>
      </c>
    </row>
    <row r="2964" spans="1:3" x14ac:dyDescent="0.35">
      <c r="A2964" t="s">
        <v>61</v>
      </c>
      <c r="B2964">
        <v>2001</v>
      </c>
      <c r="C2964">
        <v>62.951976579615739</v>
      </c>
    </row>
    <row r="2965" spans="1:3" x14ac:dyDescent="0.35">
      <c r="A2965" t="s">
        <v>61</v>
      </c>
      <c r="B2965">
        <v>2002</v>
      </c>
      <c r="C2965">
        <v>63.602176056080914</v>
      </c>
    </row>
    <row r="2966" spans="1:3" x14ac:dyDescent="0.35">
      <c r="A2966" t="s">
        <v>61</v>
      </c>
      <c r="B2966">
        <v>2003</v>
      </c>
      <c r="C2966">
        <v>82.195176791407462</v>
      </c>
    </row>
    <row r="2967" spans="1:3" x14ac:dyDescent="0.35">
      <c r="A2967" t="s">
        <v>61</v>
      </c>
      <c r="B2967">
        <v>2004</v>
      </c>
      <c r="C2967">
        <v>60.561786644110256</v>
      </c>
    </row>
    <row r="2968" spans="1:3" x14ac:dyDescent="0.35">
      <c r="A2968" t="s">
        <v>61</v>
      </c>
      <c r="B2968">
        <v>2005</v>
      </c>
      <c r="C2968">
        <v>62.589274809768327</v>
      </c>
    </row>
    <row r="2969" spans="1:3" x14ac:dyDescent="0.35">
      <c r="A2969" t="s">
        <v>61</v>
      </c>
      <c r="B2969">
        <v>2006</v>
      </c>
      <c r="C2969">
        <v>75.595918540158351</v>
      </c>
    </row>
    <row r="2970" spans="1:3" x14ac:dyDescent="0.35">
      <c r="A2970" t="s">
        <v>61</v>
      </c>
      <c r="B2970">
        <v>2007</v>
      </c>
      <c r="C2970">
        <v>95.924340172849043</v>
      </c>
    </row>
    <row r="2971" spans="1:3" x14ac:dyDescent="0.35">
      <c r="A2971" t="s">
        <v>61</v>
      </c>
      <c r="B2971">
        <v>2008</v>
      </c>
      <c r="C2971">
        <v>132.42840063902497</v>
      </c>
    </row>
    <row r="2972" spans="1:3" x14ac:dyDescent="0.35">
      <c r="A2972" t="s">
        <v>61</v>
      </c>
      <c r="B2972">
        <v>2009</v>
      </c>
      <c r="C2972">
        <v>156.8025572767543</v>
      </c>
    </row>
    <row r="2973" spans="1:3" x14ac:dyDescent="0.35">
      <c r="A2973" t="s">
        <v>61</v>
      </c>
      <c r="B2973">
        <v>2010</v>
      </c>
      <c r="C2973">
        <v>170.18697969314795</v>
      </c>
    </row>
    <row r="2974" spans="1:3" x14ac:dyDescent="0.35">
      <c r="A2974" t="s">
        <v>61</v>
      </c>
      <c r="B2974">
        <v>2011</v>
      </c>
      <c r="C2974">
        <v>200.35840588673739</v>
      </c>
    </row>
    <row r="2975" spans="1:3" x14ac:dyDescent="0.35">
      <c r="A2975" t="s">
        <v>61</v>
      </c>
      <c r="B2975">
        <v>2012</v>
      </c>
      <c r="C2975">
        <v>209.70567423162518</v>
      </c>
    </row>
    <row r="2976" spans="1:3" x14ac:dyDescent="0.35">
      <c r="A2976" t="s">
        <v>61</v>
      </c>
      <c r="B2976">
        <v>2013</v>
      </c>
      <c r="C2976">
        <v>254.07160674981657</v>
      </c>
    </row>
    <row r="2977" spans="1:3" x14ac:dyDescent="0.35">
      <c r="A2977" t="s">
        <v>61</v>
      </c>
      <c r="B2977">
        <v>2014</v>
      </c>
      <c r="C2977">
        <v>241.88799217412571</v>
      </c>
    </row>
    <row r="2978" spans="1:3" x14ac:dyDescent="0.35">
      <c r="A2978" t="s">
        <v>61</v>
      </c>
      <c r="B2978">
        <v>2015</v>
      </c>
      <c r="C2978">
        <v>288.1489026761738</v>
      </c>
    </row>
    <row r="2979" spans="1:3" x14ac:dyDescent="0.35">
      <c r="A2979" t="s">
        <v>61</v>
      </c>
      <c r="B2979">
        <v>2016</v>
      </c>
      <c r="C2979">
        <v>334.21713429792385</v>
      </c>
    </row>
    <row r="2980" spans="1:3" x14ac:dyDescent="0.35">
      <c r="A2980" t="s">
        <v>61</v>
      </c>
      <c r="B2980">
        <v>2017</v>
      </c>
      <c r="C2980">
        <v>367.92859643674956</v>
      </c>
    </row>
    <row r="2981" spans="1:3" x14ac:dyDescent="0.35">
      <c r="A2981" t="s">
        <v>61</v>
      </c>
      <c r="B2981">
        <v>2018</v>
      </c>
      <c r="C2981">
        <v>358.4975844894758</v>
      </c>
    </row>
    <row r="2982" spans="1:3" x14ac:dyDescent="0.35">
      <c r="A2982" t="s">
        <v>61</v>
      </c>
      <c r="B2982">
        <v>2019</v>
      </c>
      <c r="C2982">
        <v>392.63014033942557</v>
      </c>
    </row>
    <row r="2983" spans="1:3" x14ac:dyDescent="0.35">
      <c r="A2983" t="s">
        <v>61</v>
      </c>
      <c r="B2983">
        <v>2020</v>
      </c>
      <c r="C2983">
        <v>342.53075122057862</v>
      </c>
    </row>
    <row r="2984" spans="1:3" x14ac:dyDescent="0.35">
      <c r="A2984" t="s">
        <v>61</v>
      </c>
      <c r="B2984">
        <v>2021</v>
      </c>
      <c r="C2984">
        <v>421.66654195877959</v>
      </c>
    </row>
    <row r="2985" spans="1:3" x14ac:dyDescent="0.35">
      <c r="A2985" t="s">
        <v>61</v>
      </c>
      <c r="B2985">
        <v>2022</v>
      </c>
      <c r="C2985">
        <v>460.57613155912208</v>
      </c>
    </row>
    <row r="2986" spans="1:3" x14ac:dyDescent="0.35">
      <c r="A2986" t="s">
        <v>61</v>
      </c>
      <c r="B2986">
        <v>2023</v>
      </c>
      <c r="C2986">
        <v>524.22466237444792</v>
      </c>
    </row>
    <row r="2987" spans="1:3" x14ac:dyDescent="0.35">
      <c r="A2987" t="s">
        <v>61</v>
      </c>
      <c r="B2987">
        <v>2024</v>
      </c>
      <c r="C2987">
        <v>547.3303524805732</v>
      </c>
    </row>
    <row r="2988" spans="1:3" x14ac:dyDescent="0.35">
      <c r="A2988" t="s">
        <v>61</v>
      </c>
      <c r="B2988">
        <v>2025</v>
      </c>
      <c r="C2988">
        <v>580.24601163537363</v>
      </c>
    </row>
    <row r="2989" spans="1:3" x14ac:dyDescent="0.35">
      <c r="A2989" t="s">
        <v>62</v>
      </c>
      <c r="B2989">
        <v>1976</v>
      </c>
      <c r="C2989">
        <v>27.445027445027449</v>
      </c>
    </row>
    <row r="2990" spans="1:3" x14ac:dyDescent="0.35">
      <c r="A2990" t="s">
        <v>62</v>
      </c>
      <c r="B2990">
        <v>1977</v>
      </c>
      <c r="C2990">
        <v>30.580030580030584</v>
      </c>
    </row>
    <row r="2991" spans="1:3" x14ac:dyDescent="0.35">
      <c r="A2991" t="s">
        <v>62</v>
      </c>
      <c r="B2991">
        <v>1981</v>
      </c>
      <c r="C2991">
        <v>44.922028494122671</v>
      </c>
    </row>
    <row r="2992" spans="1:3" x14ac:dyDescent="0.35">
      <c r="A2992" t="s">
        <v>62</v>
      </c>
      <c r="B2992">
        <v>1982</v>
      </c>
      <c r="C2992">
        <v>53.60891872775651</v>
      </c>
    </row>
    <row r="2993" spans="1:3" x14ac:dyDescent="0.35">
      <c r="A2993" t="s">
        <v>62</v>
      </c>
      <c r="B2993">
        <v>1983</v>
      </c>
      <c r="C2993">
        <v>50.162507374936602</v>
      </c>
    </row>
    <row r="2994" spans="1:3" x14ac:dyDescent="0.35">
      <c r="A2994" t="s">
        <v>62</v>
      </c>
      <c r="B2994">
        <v>1984</v>
      </c>
      <c r="C2994">
        <v>25.153444252815259</v>
      </c>
    </row>
    <row r="2995" spans="1:3" x14ac:dyDescent="0.35">
      <c r="A2995" t="s">
        <v>62</v>
      </c>
      <c r="B2995">
        <v>1985</v>
      </c>
      <c r="C2995">
        <v>18.714379263694195</v>
      </c>
    </row>
    <row r="2996" spans="1:3" x14ac:dyDescent="0.35">
      <c r="A2996" t="s">
        <v>62</v>
      </c>
      <c r="B2996">
        <v>1986</v>
      </c>
      <c r="C2996">
        <v>23.52208812613754</v>
      </c>
    </row>
    <row r="2997" spans="1:3" x14ac:dyDescent="0.35">
      <c r="A2997" t="s">
        <v>62</v>
      </c>
      <c r="B2997">
        <v>1987</v>
      </c>
      <c r="C2997">
        <v>25.325014990877889</v>
      </c>
    </row>
    <row r="2998" spans="1:3" x14ac:dyDescent="0.35">
      <c r="A2998" t="s">
        <v>62</v>
      </c>
      <c r="B2998">
        <v>1988</v>
      </c>
      <c r="C2998">
        <v>30.932577821100292</v>
      </c>
    </row>
    <row r="2999" spans="1:3" x14ac:dyDescent="0.35">
      <c r="A2999" t="s">
        <v>62</v>
      </c>
      <c r="B2999">
        <v>1989</v>
      </c>
      <c r="C2999">
        <v>40.933809603386806</v>
      </c>
    </row>
    <row r="3000" spans="1:3" x14ac:dyDescent="0.35">
      <c r="A3000" t="s">
        <v>62</v>
      </c>
      <c r="B3000">
        <v>1990</v>
      </c>
      <c r="C3000">
        <v>38.609944557581194</v>
      </c>
    </row>
    <row r="3001" spans="1:3" x14ac:dyDescent="0.35">
      <c r="A3001" t="s">
        <v>62</v>
      </c>
      <c r="B3001">
        <v>1991</v>
      </c>
      <c r="C3001">
        <v>31.891976658770705</v>
      </c>
    </row>
    <row r="3002" spans="1:3" x14ac:dyDescent="0.35">
      <c r="A3002" t="s">
        <v>62</v>
      </c>
      <c r="B3002">
        <v>1992</v>
      </c>
      <c r="C3002">
        <v>47.192327626381186</v>
      </c>
    </row>
    <row r="3003" spans="1:3" x14ac:dyDescent="0.35">
      <c r="A3003" t="s">
        <v>62</v>
      </c>
      <c r="B3003">
        <v>1993</v>
      </c>
      <c r="C3003">
        <v>44.542579543541521</v>
      </c>
    </row>
    <row r="3004" spans="1:3" x14ac:dyDescent="0.35">
      <c r="A3004" t="s">
        <v>62</v>
      </c>
      <c r="B3004">
        <v>1994</v>
      </c>
      <c r="C3004">
        <v>34.218503954856899</v>
      </c>
    </row>
    <row r="3005" spans="1:3" x14ac:dyDescent="0.35">
      <c r="A3005" t="s">
        <v>62</v>
      </c>
      <c r="B3005">
        <v>1995</v>
      </c>
      <c r="C3005">
        <v>35.298829608930603</v>
      </c>
    </row>
    <row r="3006" spans="1:3" x14ac:dyDescent="0.35">
      <c r="A3006" t="s">
        <v>62</v>
      </c>
      <c r="B3006">
        <v>1996</v>
      </c>
      <c r="C3006">
        <v>41.791263914481839</v>
      </c>
    </row>
    <row r="3007" spans="1:3" x14ac:dyDescent="0.35">
      <c r="A3007" t="s">
        <v>62</v>
      </c>
      <c r="B3007">
        <v>1997</v>
      </c>
      <c r="C3007">
        <v>54.85460887740259</v>
      </c>
    </row>
    <row r="3008" spans="1:3" x14ac:dyDescent="0.35">
      <c r="A3008" t="s">
        <v>62</v>
      </c>
      <c r="B3008">
        <v>1998</v>
      </c>
      <c r="C3008">
        <v>47.640218878248973</v>
      </c>
    </row>
    <row r="3009" spans="1:3" x14ac:dyDescent="0.35">
      <c r="A3009" t="s">
        <v>62</v>
      </c>
      <c r="B3009">
        <v>1999</v>
      </c>
      <c r="C3009">
        <v>45.131071753300802</v>
      </c>
    </row>
    <row r="3010" spans="1:3" x14ac:dyDescent="0.35">
      <c r="A3010" t="s">
        <v>62</v>
      </c>
      <c r="B3010">
        <v>2000</v>
      </c>
      <c r="C3010">
        <v>43.566232491270348</v>
      </c>
    </row>
    <row r="3011" spans="1:3" x14ac:dyDescent="0.35">
      <c r="A3011" t="s">
        <v>62</v>
      </c>
      <c r="B3011">
        <v>2001</v>
      </c>
      <c r="C3011">
        <v>46.374382287270933</v>
      </c>
    </row>
    <row r="3012" spans="1:3" x14ac:dyDescent="0.35">
      <c r="A3012" t="s">
        <v>62</v>
      </c>
      <c r="B3012">
        <v>2002</v>
      </c>
      <c r="C3012">
        <v>56.898147096305138</v>
      </c>
    </row>
    <row r="3013" spans="1:3" x14ac:dyDescent="0.35">
      <c r="A3013" t="s">
        <v>62</v>
      </c>
      <c r="B3013">
        <v>2003</v>
      </c>
      <c r="C3013">
        <v>54.845871817030904</v>
      </c>
    </row>
    <row r="3014" spans="1:3" x14ac:dyDescent="0.35">
      <c r="A3014" t="s">
        <v>62</v>
      </c>
      <c r="B3014">
        <v>2004</v>
      </c>
      <c r="C3014">
        <v>54.533132234808122</v>
      </c>
    </row>
    <row r="3015" spans="1:3" x14ac:dyDescent="0.35">
      <c r="A3015" t="s">
        <v>62</v>
      </c>
      <c r="B3015">
        <v>2005</v>
      </c>
      <c r="C3015">
        <v>59.329776319148621</v>
      </c>
    </row>
    <row r="3016" spans="1:3" x14ac:dyDescent="0.35">
      <c r="A3016" t="s">
        <v>62</v>
      </c>
      <c r="B3016">
        <v>2006</v>
      </c>
      <c r="C3016">
        <v>72.645523006697204</v>
      </c>
    </row>
    <row r="3017" spans="1:3" x14ac:dyDescent="0.35">
      <c r="A3017" t="s">
        <v>62</v>
      </c>
      <c r="B3017">
        <v>2007</v>
      </c>
      <c r="C3017">
        <v>83.511942097519665</v>
      </c>
    </row>
    <row r="3018" spans="1:3" x14ac:dyDescent="0.35">
      <c r="A3018" t="s">
        <v>62</v>
      </c>
      <c r="B3018">
        <v>2008</v>
      </c>
      <c r="C3018">
        <v>130.69917065487201</v>
      </c>
    </row>
    <row r="3019" spans="1:3" x14ac:dyDescent="0.35">
      <c r="A3019" t="s">
        <v>62</v>
      </c>
      <c r="B3019">
        <v>2009</v>
      </c>
      <c r="C3019">
        <v>114.80833184479961</v>
      </c>
    </row>
    <row r="3020" spans="1:3" x14ac:dyDescent="0.35">
      <c r="A3020" t="s">
        <v>62</v>
      </c>
      <c r="B3020">
        <v>2010</v>
      </c>
      <c r="C3020">
        <v>115.57133456163186</v>
      </c>
    </row>
    <row r="3021" spans="1:3" x14ac:dyDescent="0.35">
      <c r="A3021" t="s">
        <v>62</v>
      </c>
      <c r="B3021">
        <v>2011</v>
      </c>
      <c r="C3021">
        <v>133.63706121580378</v>
      </c>
    </row>
    <row r="3022" spans="1:3" x14ac:dyDescent="0.35">
      <c r="A3022" t="s">
        <v>62</v>
      </c>
      <c r="B3022">
        <v>2012</v>
      </c>
      <c r="C3022">
        <v>137.63720787394655</v>
      </c>
    </row>
    <row r="3023" spans="1:3" x14ac:dyDescent="0.35">
      <c r="A3023" t="s">
        <v>62</v>
      </c>
      <c r="B3023">
        <v>2013</v>
      </c>
      <c r="C3023">
        <v>128.23063434410074</v>
      </c>
    </row>
    <row r="3024" spans="1:3" x14ac:dyDescent="0.35">
      <c r="A3024" t="s">
        <v>62</v>
      </c>
      <c r="B3024">
        <v>2014</v>
      </c>
      <c r="C3024">
        <v>121.31024502042169</v>
      </c>
    </row>
    <row r="3025" spans="1:3" x14ac:dyDescent="0.35">
      <c r="A3025" t="s">
        <v>62</v>
      </c>
      <c r="B3025">
        <v>2015</v>
      </c>
      <c r="C3025">
        <v>123.77770066032733</v>
      </c>
    </row>
    <row r="3026" spans="1:3" x14ac:dyDescent="0.35">
      <c r="A3026" t="s">
        <v>62</v>
      </c>
      <c r="B3026">
        <v>2016</v>
      </c>
      <c r="C3026">
        <v>134.41260920817854</v>
      </c>
    </row>
    <row r="3027" spans="1:3" x14ac:dyDescent="0.35">
      <c r="A3027" t="s">
        <v>62</v>
      </c>
      <c r="B3027">
        <v>2017</v>
      </c>
      <c r="C3027">
        <v>144.15555588716634</v>
      </c>
    </row>
    <row r="3028" spans="1:3" x14ac:dyDescent="0.35">
      <c r="A3028" t="s">
        <v>62</v>
      </c>
      <c r="B3028">
        <v>2018</v>
      </c>
      <c r="C3028">
        <v>209.66735083213476</v>
      </c>
    </row>
    <row r="3029" spans="1:3" x14ac:dyDescent="0.35">
      <c r="A3029" t="s">
        <v>62</v>
      </c>
      <c r="B3029">
        <v>2019</v>
      </c>
      <c r="C3029">
        <v>266.19841798654483</v>
      </c>
    </row>
    <row r="3030" spans="1:3" x14ac:dyDescent="0.35">
      <c r="A3030" t="s">
        <v>62</v>
      </c>
      <c r="B3030">
        <v>2020</v>
      </c>
      <c r="C3030">
        <v>235.70493192020228</v>
      </c>
    </row>
    <row r="3031" spans="1:3" x14ac:dyDescent="0.35">
      <c r="A3031" t="s">
        <v>62</v>
      </c>
      <c r="B3031">
        <v>2021</v>
      </c>
      <c r="C3031">
        <v>214.99288562241091</v>
      </c>
    </row>
    <row r="3032" spans="1:3" x14ac:dyDescent="0.35">
      <c r="A3032" t="s">
        <v>62</v>
      </c>
      <c r="B3032">
        <v>2022</v>
      </c>
      <c r="C3032">
        <v>220.56101910560656</v>
      </c>
    </row>
    <row r="3033" spans="1:3" x14ac:dyDescent="0.35">
      <c r="A3033" t="s">
        <v>62</v>
      </c>
      <c r="B3033">
        <v>2023</v>
      </c>
      <c r="C3033">
        <v>230.36021836091811</v>
      </c>
    </row>
    <row r="3034" spans="1:3" x14ac:dyDescent="0.35">
      <c r="A3034" t="s">
        <v>62</v>
      </c>
      <c r="B3034">
        <v>2024</v>
      </c>
      <c r="C3034">
        <v>276.16995018112709</v>
      </c>
    </row>
    <row r="3035" spans="1:3" x14ac:dyDescent="0.35">
      <c r="A3035" t="s">
        <v>62</v>
      </c>
      <c r="B3035">
        <v>2025</v>
      </c>
      <c r="C3035">
        <v>286.64604566990488</v>
      </c>
    </row>
    <row r="3036" spans="1:3" x14ac:dyDescent="0.35">
      <c r="A3036" t="s">
        <v>63</v>
      </c>
      <c r="B3036">
        <v>1949</v>
      </c>
      <c r="C3036">
        <v>34.797687861271676</v>
      </c>
    </row>
    <row r="3037" spans="1:3" x14ac:dyDescent="0.35">
      <c r="A3037" t="s">
        <v>63</v>
      </c>
      <c r="B3037">
        <v>1950</v>
      </c>
      <c r="C3037">
        <v>41.040462427745659</v>
      </c>
    </row>
    <row r="3038" spans="1:3" x14ac:dyDescent="0.35">
      <c r="A3038" t="s">
        <v>63</v>
      </c>
      <c r="B3038">
        <v>1951</v>
      </c>
      <c r="C3038">
        <v>46.820809248554916</v>
      </c>
    </row>
    <row r="3039" spans="1:3" x14ac:dyDescent="0.35">
      <c r="A3039" t="s">
        <v>63</v>
      </c>
      <c r="B3039">
        <v>1952</v>
      </c>
      <c r="C3039">
        <v>49.479768786127174</v>
      </c>
    </row>
    <row r="3040" spans="1:3" x14ac:dyDescent="0.35">
      <c r="A3040" t="s">
        <v>63</v>
      </c>
      <c r="B3040">
        <v>1953</v>
      </c>
      <c r="C3040">
        <v>55.260115606936417</v>
      </c>
    </row>
    <row r="3041" spans="1:3" x14ac:dyDescent="0.35">
      <c r="A3041" t="s">
        <v>63</v>
      </c>
      <c r="B3041">
        <v>1954</v>
      </c>
      <c r="C3041">
        <v>50.56</v>
      </c>
    </row>
    <row r="3042" spans="1:3" x14ac:dyDescent="0.35">
      <c r="A3042" t="s">
        <v>63</v>
      </c>
      <c r="B3042">
        <v>1955</v>
      </c>
      <c r="C3042">
        <v>55.52</v>
      </c>
    </row>
    <row r="3043" spans="1:3" x14ac:dyDescent="0.35">
      <c r="A3043" t="s">
        <v>63</v>
      </c>
      <c r="B3043">
        <v>1956</v>
      </c>
      <c r="C3043">
        <v>59.44</v>
      </c>
    </row>
    <row r="3044" spans="1:3" x14ac:dyDescent="0.35">
      <c r="A3044" t="s">
        <v>63</v>
      </c>
      <c r="B3044">
        <v>1957</v>
      </c>
      <c r="C3044">
        <v>67.84</v>
      </c>
    </row>
    <row r="3045" spans="1:3" x14ac:dyDescent="0.35">
      <c r="A3045" t="s">
        <v>63</v>
      </c>
      <c r="B3045">
        <v>1958</v>
      </c>
      <c r="C3045">
        <v>70.72</v>
      </c>
    </row>
    <row r="3046" spans="1:3" x14ac:dyDescent="0.35">
      <c r="A3046" t="s">
        <v>63</v>
      </c>
      <c r="B3046">
        <v>1959</v>
      </c>
      <c r="C3046">
        <v>71.040000000000006</v>
      </c>
    </row>
    <row r="3047" spans="1:3" x14ac:dyDescent="0.35">
      <c r="A3047" t="s">
        <v>63</v>
      </c>
      <c r="B3047">
        <v>1960</v>
      </c>
      <c r="C3047">
        <v>84</v>
      </c>
    </row>
    <row r="3048" spans="1:3" x14ac:dyDescent="0.35">
      <c r="A3048" t="s">
        <v>63</v>
      </c>
      <c r="B3048">
        <v>1961</v>
      </c>
      <c r="C3048">
        <v>86.4</v>
      </c>
    </row>
    <row r="3049" spans="1:3" x14ac:dyDescent="0.35">
      <c r="A3049" t="s">
        <v>63</v>
      </c>
      <c r="B3049">
        <v>1962</v>
      </c>
      <c r="C3049">
        <v>99.2</v>
      </c>
    </row>
    <row r="3050" spans="1:3" x14ac:dyDescent="0.35">
      <c r="A3050" t="s">
        <v>63</v>
      </c>
      <c r="B3050">
        <v>1963</v>
      </c>
      <c r="C3050">
        <v>112</v>
      </c>
    </row>
    <row r="3051" spans="1:3" x14ac:dyDescent="0.35">
      <c r="A3051" t="s">
        <v>63</v>
      </c>
      <c r="B3051">
        <v>1964</v>
      </c>
      <c r="C3051">
        <v>120</v>
      </c>
    </row>
    <row r="3052" spans="1:3" x14ac:dyDescent="0.35">
      <c r="A3052" t="s">
        <v>63</v>
      </c>
      <c r="B3052">
        <v>1965</v>
      </c>
      <c r="C3052">
        <v>119.2</v>
      </c>
    </row>
    <row r="3053" spans="1:3" x14ac:dyDescent="0.35">
      <c r="A3053" t="s">
        <v>63</v>
      </c>
      <c r="B3053">
        <v>1966</v>
      </c>
      <c r="C3053">
        <v>130.4</v>
      </c>
    </row>
    <row r="3054" spans="1:3" x14ac:dyDescent="0.35">
      <c r="A3054" t="s">
        <v>63</v>
      </c>
      <c r="B3054">
        <v>1967</v>
      </c>
      <c r="C3054">
        <v>133.6</v>
      </c>
    </row>
    <row r="3055" spans="1:3" x14ac:dyDescent="0.35">
      <c r="A3055" t="s">
        <v>63</v>
      </c>
      <c r="B3055">
        <v>1968</v>
      </c>
      <c r="C3055">
        <v>148.80000000000001</v>
      </c>
    </row>
    <row r="3056" spans="1:3" x14ac:dyDescent="0.35">
      <c r="A3056" t="s">
        <v>63</v>
      </c>
      <c r="B3056">
        <v>1969</v>
      </c>
      <c r="C3056">
        <v>180</v>
      </c>
    </row>
    <row r="3057" spans="1:3" x14ac:dyDescent="0.35">
      <c r="A3057" t="s">
        <v>63</v>
      </c>
      <c r="B3057">
        <v>1970</v>
      </c>
      <c r="C3057">
        <v>176.8</v>
      </c>
    </row>
    <row r="3058" spans="1:3" x14ac:dyDescent="0.35">
      <c r="A3058" t="s">
        <v>63</v>
      </c>
      <c r="B3058">
        <v>1971</v>
      </c>
      <c r="C3058">
        <v>191.2</v>
      </c>
    </row>
    <row r="3059" spans="1:3" x14ac:dyDescent="0.35">
      <c r="A3059" t="s">
        <v>63</v>
      </c>
      <c r="B3059">
        <v>1972</v>
      </c>
      <c r="C3059">
        <v>242.4</v>
      </c>
    </row>
    <row r="3060" spans="1:3" x14ac:dyDescent="0.35">
      <c r="A3060" t="s">
        <v>63</v>
      </c>
      <c r="B3060">
        <v>1973</v>
      </c>
      <c r="C3060">
        <v>300.8</v>
      </c>
    </row>
    <row r="3061" spans="1:3" x14ac:dyDescent="0.35">
      <c r="A3061" t="s">
        <v>63</v>
      </c>
      <c r="B3061">
        <v>1974</v>
      </c>
      <c r="C3061">
        <v>407.2</v>
      </c>
    </row>
    <row r="3062" spans="1:3" x14ac:dyDescent="0.35">
      <c r="A3062" t="s">
        <v>63</v>
      </c>
      <c r="B3062">
        <v>1975</v>
      </c>
      <c r="C3062">
        <v>504.8</v>
      </c>
    </row>
    <row r="3063" spans="1:3" x14ac:dyDescent="0.35">
      <c r="A3063" t="s">
        <v>63</v>
      </c>
      <c r="B3063">
        <v>1976</v>
      </c>
      <c r="C3063">
        <v>531.57696845544467</v>
      </c>
    </row>
    <row r="3064" spans="1:3" x14ac:dyDescent="0.35">
      <c r="A3064" t="s">
        <v>63</v>
      </c>
      <c r="B3064">
        <v>1977</v>
      </c>
      <c r="C3064">
        <v>437.69298583699924</v>
      </c>
    </row>
    <row r="3065" spans="1:3" x14ac:dyDescent="0.35">
      <c r="A3065" t="s">
        <v>63</v>
      </c>
      <c r="B3065">
        <v>1978</v>
      </c>
      <c r="C3065">
        <v>518.28719259639922</v>
      </c>
    </row>
    <row r="3066" spans="1:3" x14ac:dyDescent="0.35">
      <c r="A3066" t="s">
        <v>63</v>
      </c>
      <c r="B3066">
        <v>1979</v>
      </c>
      <c r="C3066">
        <v>679.66358844834997</v>
      </c>
    </row>
    <row r="3067" spans="1:3" x14ac:dyDescent="0.35">
      <c r="A3067" t="s">
        <v>63</v>
      </c>
      <c r="B3067">
        <v>1980</v>
      </c>
      <c r="C3067">
        <v>810.42220382554137</v>
      </c>
    </row>
    <row r="3068" spans="1:3" x14ac:dyDescent="0.35">
      <c r="A3068" t="s">
        <v>63</v>
      </c>
      <c r="B3068">
        <v>1981</v>
      </c>
      <c r="C3068">
        <v>1284.9485612655315</v>
      </c>
    </row>
    <row r="3069" spans="1:3" x14ac:dyDescent="0.35">
      <c r="A3069" t="s">
        <v>63</v>
      </c>
      <c r="B3069">
        <v>1982</v>
      </c>
      <c r="C3069">
        <v>858.13016274332153</v>
      </c>
    </row>
    <row r="3070" spans="1:3" x14ac:dyDescent="0.35">
      <c r="A3070" t="s">
        <v>63</v>
      </c>
      <c r="B3070">
        <v>1983</v>
      </c>
      <c r="C3070">
        <v>778.55679717554585</v>
      </c>
    </row>
    <row r="3071" spans="1:3" x14ac:dyDescent="0.35">
      <c r="A3071" t="s">
        <v>63</v>
      </c>
      <c r="B3071">
        <v>1984</v>
      </c>
      <c r="C3071">
        <v>1155.9453726434208</v>
      </c>
    </row>
    <row r="3072" spans="1:3" x14ac:dyDescent="0.35">
      <c r="A3072" t="s">
        <v>63</v>
      </c>
      <c r="B3072">
        <v>1985</v>
      </c>
      <c r="C3072">
        <v>1241.8636519355944</v>
      </c>
    </row>
    <row r="3073" spans="1:3" x14ac:dyDescent="0.35">
      <c r="A3073" t="s">
        <v>63</v>
      </c>
      <c r="B3073">
        <v>1986</v>
      </c>
      <c r="C3073">
        <v>817.29661165170739</v>
      </c>
    </row>
    <row r="3074" spans="1:3" x14ac:dyDescent="0.35">
      <c r="A3074" t="s">
        <v>63</v>
      </c>
      <c r="B3074">
        <v>1987</v>
      </c>
      <c r="C3074">
        <v>813.39157439521694</v>
      </c>
    </row>
    <row r="3075" spans="1:3" x14ac:dyDescent="0.35">
      <c r="A3075" t="s">
        <v>63</v>
      </c>
      <c r="B3075">
        <v>1988</v>
      </c>
      <c r="C3075">
        <v>981.91464557368545</v>
      </c>
    </row>
    <row r="3076" spans="1:3" x14ac:dyDescent="0.35">
      <c r="A3076" t="s">
        <v>63</v>
      </c>
      <c r="B3076">
        <v>1989</v>
      </c>
      <c r="C3076">
        <v>1153.3758282652238</v>
      </c>
    </row>
    <row r="3077" spans="1:3" x14ac:dyDescent="0.35">
      <c r="A3077" t="s">
        <v>63</v>
      </c>
      <c r="B3077">
        <v>1990</v>
      </c>
      <c r="C3077">
        <v>1210.8725023110289</v>
      </c>
    </row>
    <row r="3078" spans="1:3" x14ac:dyDescent="0.35">
      <c r="A3078" t="s">
        <v>63</v>
      </c>
      <c r="B3078">
        <v>1991</v>
      </c>
      <c r="C3078">
        <v>1459.1360409219362</v>
      </c>
    </row>
    <row r="3079" spans="1:3" x14ac:dyDescent="0.35">
      <c r="A3079" t="s">
        <v>63</v>
      </c>
      <c r="B3079">
        <v>1992</v>
      </c>
      <c r="C3079">
        <v>1824.5500662380045</v>
      </c>
    </row>
    <row r="3080" spans="1:3" x14ac:dyDescent="0.35">
      <c r="A3080" t="s">
        <v>63</v>
      </c>
      <c r="B3080">
        <v>1993</v>
      </c>
      <c r="C3080">
        <v>2122.9803377818862</v>
      </c>
    </row>
    <row r="3081" spans="1:3" x14ac:dyDescent="0.35">
      <c r="A3081" t="s">
        <v>63</v>
      </c>
      <c r="B3081">
        <v>1994</v>
      </c>
      <c r="C3081">
        <v>2635.2840787883101</v>
      </c>
    </row>
    <row r="3082" spans="1:3" x14ac:dyDescent="0.35">
      <c r="A3082" t="s">
        <v>63</v>
      </c>
      <c r="B3082">
        <v>1995</v>
      </c>
      <c r="C3082">
        <v>1562.615372392876</v>
      </c>
    </row>
    <row r="3083" spans="1:3" x14ac:dyDescent="0.35">
      <c r="A3083" t="s">
        <v>63</v>
      </c>
      <c r="B3083">
        <v>1996</v>
      </c>
      <c r="C3083">
        <v>1882.873102658745</v>
      </c>
    </row>
    <row r="3084" spans="1:3" x14ac:dyDescent="0.35">
      <c r="A3084" t="s">
        <v>63</v>
      </c>
      <c r="B3084">
        <v>1997</v>
      </c>
      <c r="C3084">
        <v>2184.0610421723418</v>
      </c>
    </row>
    <row r="3085" spans="1:3" x14ac:dyDescent="0.35">
      <c r="A3085" t="s">
        <v>63</v>
      </c>
      <c r="B3085">
        <v>1998</v>
      </c>
      <c r="C3085">
        <v>2263.223453487507</v>
      </c>
    </row>
    <row r="3086" spans="1:3" x14ac:dyDescent="0.35">
      <c r="A3086" t="s">
        <v>63</v>
      </c>
      <c r="B3086">
        <v>1999</v>
      </c>
      <c r="C3086">
        <v>2652.912012049705</v>
      </c>
    </row>
    <row r="3087" spans="1:3" x14ac:dyDescent="0.35">
      <c r="A3087" t="s">
        <v>63</v>
      </c>
      <c r="B3087">
        <v>2000</v>
      </c>
      <c r="C3087">
        <v>3031.4545093045781</v>
      </c>
    </row>
    <row r="3088" spans="1:3" x14ac:dyDescent="0.35">
      <c r="A3088" t="s">
        <v>63</v>
      </c>
      <c r="B3088">
        <v>2001</v>
      </c>
      <c r="C3088">
        <v>3229.4692764339557</v>
      </c>
    </row>
    <row r="3089" spans="1:3" x14ac:dyDescent="0.35">
      <c r="A3089" t="s">
        <v>63</v>
      </c>
      <c r="B3089">
        <v>2002</v>
      </c>
      <c r="C3089">
        <v>3172.2687335075952</v>
      </c>
    </row>
    <row r="3090" spans="1:3" x14ac:dyDescent="0.35">
      <c r="A3090" t="s">
        <v>63</v>
      </c>
      <c r="B3090">
        <v>2003</v>
      </c>
      <c r="C3090">
        <v>2960.4968022986372</v>
      </c>
    </row>
    <row r="3091" spans="1:3" x14ac:dyDescent="0.35">
      <c r="A3091" t="s">
        <v>63</v>
      </c>
      <c r="B3091">
        <v>2004</v>
      </c>
      <c r="C3091">
        <v>2854.385964912281</v>
      </c>
    </row>
    <row r="3092" spans="1:3" x14ac:dyDescent="0.35">
      <c r="A3092" t="s">
        <v>63</v>
      </c>
      <c r="B3092">
        <v>2005</v>
      </c>
      <c r="C3092">
        <v>3123.454977564485</v>
      </c>
    </row>
    <row r="3093" spans="1:3" x14ac:dyDescent="0.35">
      <c r="A3093" t="s">
        <v>63</v>
      </c>
      <c r="B3093">
        <v>2006</v>
      </c>
      <c r="C3093">
        <v>3035.13101879037</v>
      </c>
    </row>
    <row r="3094" spans="1:3" x14ac:dyDescent="0.35">
      <c r="A3094" t="s">
        <v>63</v>
      </c>
      <c r="B3094">
        <v>2007</v>
      </c>
      <c r="C3094">
        <v>4223.0376457239072</v>
      </c>
    </row>
    <row r="3095" spans="1:3" x14ac:dyDescent="0.35">
      <c r="A3095" t="s">
        <v>63</v>
      </c>
      <c r="B3095">
        <v>2008</v>
      </c>
      <c r="C3095">
        <v>4334.6541236511321</v>
      </c>
    </row>
    <row r="3096" spans="1:3" x14ac:dyDescent="0.35">
      <c r="A3096" t="s">
        <v>63</v>
      </c>
      <c r="B3096">
        <v>2009</v>
      </c>
      <c r="C3096">
        <v>4514.2339142339142</v>
      </c>
    </row>
    <row r="3097" spans="1:3" x14ac:dyDescent="0.35">
      <c r="A3097" t="s">
        <v>63</v>
      </c>
      <c r="B3097">
        <v>2010</v>
      </c>
      <c r="C3097">
        <v>4789.0313390313395</v>
      </c>
    </row>
    <row r="3098" spans="1:3" x14ac:dyDescent="0.35">
      <c r="A3098" t="s">
        <v>63</v>
      </c>
      <c r="B3098">
        <v>2011</v>
      </c>
      <c r="C3098">
        <v>5498.4585416113268</v>
      </c>
    </row>
    <row r="3099" spans="1:3" x14ac:dyDescent="0.35">
      <c r="A3099" t="s">
        <v>63</v>
      </c>
      <c r="B3099">
        <v>2012</v>
      </c>
      <c r="C3099">
        <v>5717.0355746231826</v>
      </c>
    </row>
    <row r="3100" spans="1:3" x14ac:dyDescent="0.35">
      <c r="A3100" t="s">
        <v>63</v>
      </c>
      <c r="B3100">
        <v>2013</v>
      </c>
      <c r="C3100">
        <v>6473.1443783275918</v>
      </c>
    </row>
    <row r="3101" spans="1:3" x14ac:dyDescent="0.35">
      <c r="A3101" t="s">
        <v>63</v>
      </c>
      <c r="B3101">
        <v>2014</v>
      </c>
      <c r="C3101">
        <v>6758.693845002238</v>
      </c>
    </row>
    <row r="3102" spans="1:3" x14ac:dyDescent="0.35">
      <c r="A3102" t="s">
        <v>63</v>
      </c>
      <c r="B3102">
        <v>2015</v>
      </c>
      <c r="C3102">
        <v>5468.8378119163281</v>
      </c>
    </row>
    <row r="3103" spans="1:3" x14ac:dyDescent="0.35">
      <c r="A3103" t="s">
        <v>63</v>
      </c>
      <c r="B3103">
        <v>2016</v>
      </c>
      <c r="C3103">
        <v>5336.8757404647395</v>
      </c>
    </row>
    <row r="3104" spans="1:3" x14ac:dyDescent="0.35">
      <c r="A3104" t="s">
        <v>63</v>
      </c>
      <c r="B3104">
        <v>2017</v>
      </c>
      <c r="C3104">
        <v>5062.0766458212875</v>
      </c>
    </row>
    <row r="3105" spans="1:3" x14ac:dyDescent="0.35">
      <c r="A3105" t="s">
        <v>63</v>
      </c>
      <c r="B3105">
        <v>2018</v>
      </c>
      <c r="C3105">
        <v>5839.5212710198657</v>
      </c>
    </row>
    <row r="3106" spans="1:3" x14ac:dyDescent="0.35">
      <c r="A3106" t="s">
        <v>63</v>
      </c>
      <c r="B3106">
        <v>2019</v>
      </c>
      <c r="C3106">
        <v>6650.8082540672594</v>
      </c>
    </row>
    <row r="3107" spans="1:3" x14ac:dyDescent="0.35">
      <c r="A3107" t="s">
        <v>63</v>
      </c>
      <c r="B3107">
        <v>2020</v>
      </c>
      <c r="C3107">
        <v>8044.8808637379007</v>
      </c>
    </row>
    <row r="3108" spans="1:3" x14ac:dyDescent="0.35">
      <c r="A3108" t="s">
        <v>63</v>
      </c>
      <c r="B3108">
        <v>2021</v>
      </c>
      <c r="C3108">
        <v>8680.8325934694676</v>
      </c>
    </row>
    <row r="3109" spans="1:3" x14ac:dyDescent="0.35">
      <c r="A3109" t="s">
        <v>63</v>
      </c>
      <c r="B3109">
        <v>2022</v>
      </c>
      <c r="C3109">
        <v>10057.300141349957</v>
      </c>
    </row>
    <row r="3110" spans="1:3" x14ac:dyDescent="0.35">
      <c r="A3110" t="s">
        <v>63</v>
      </c>
      <c r="B3110">
        <v>2023</v>
      </c>
      <c r="C3110">
        <v>11845.743357956653</v>
      </c>
    </row>
    <row r="3111" spans="1:3" x14ac:dyDescent="0.35">
      <c r="A3111" t="s">
        <v>63</v>
      </c>
      <c r="B3111">
        <v>2024</v>
      </c>
      <c r="C3111">
        <v>20594.947698311458</v>
      </c>
    </row>
    <row r="3112" spans="1:3" x14ac:dyDescent="0.35">
      <c r="A3112" t="s">
        <v>63</v>
      </c>
      <c r="B3112">
        <v>2025</v>
      </c>
      <c r="C3112">
        <v>13647.711360169913</v>
      </c>
    </row>
    <row r="3113" spans="1:3" x14ac:dyDescent="0.35">
      <c r="A3113" t="s">
        <v>64</v>
      </c>
      <c r="B3113">
        <v>1968</v>
      </c>
      <c r="C3113">
        <v>6.8910629707275408</v>
      </c>
    </row>
    <row r="3114" spans="1:3" x14ac:dyDescent="0.35">
      <c r="A3114" t="s">
        <v>64</v>
      </c>
      <c r="B3114">
        <v>1969</v>
      </c>
      <c r="C3114">
        <v>6.9881201956673653</v>
      </c>
    </row>
    <row r="3115" spans="1:3" x14ac:dyDescent="0.35">
      <c r="A3115" t="s">
        <v>64</v>
      </c>
      <c r="B3115">
        <v>1970</v>
      </c>
      <c r="C3115">
        <v>8.3469213448249082</v>
      </c>
    </row>
    <row r="3116" spans="1:3" x14ac:dyDescent="0.35">
      <c r="A3116" t="s">
        <v>64</v>
      </c>
      <c r="B3116">
        <v>1971</v>
      </c>
      <c r="C3116">
        <v>8.4439785697647327</v>
      </c>
    </row>
    <row r="3117" spans="1:3" x14ac:dyDescent="0.35">
      <c r="A3117" t="s">
        <v>64</v>
      </c>
      <c r="B3117">
        <v>1972</v>
      </c>
      <c r="C3117">
        <v>10.967466418200171</v>
      </c>
    </row>
    <row r="3118" spans="1:3" x14ac:dyDescent="0.35">
      <c r="A3118" t="s">
        <v>64</v>
      </c>
      <c r="B3118">
        <v>1973</v>
      </c>
      <c r="C3118">
        <v>10.433752948141823</v>
      </c>
    </row>
    <row r="3119" spans="1:3" x14ac:dyDescent="0.35">
      <c r="A3119" t="s">
        <v>64</v>
      </c>
      <c r="B3119">
        <v>1974</v>
      </c>
      <c r="C3119">
        <v>14.99534125320289</v>
      </c>
    </row>
    <row r="3120" spans="1:3" x14ac:dyDescent="0.35">
      <c r="A3120" t="s">
        <v>64</v>
      </c>
      <c r="B3120">
        <v>1975</v>
      </c>
      <c r="C3120">
        <v>18.537929963506482</v>
      </c>
    </row>
    <row r="3121" spans="1:3" x14ac:dyDescent="0.35">
      <c r="A3121" t="s">
        <v>64</v>
      </c>
      <c r="B3121">
        <v>1976</v>
      </c>
      <c r="C3121">
        <v>25.234878484354372</v>
      </c>
    </row>
    <row r="3122" spans="1:3" x14ac:dyDescent="0.35">
      <c r="A3122" t="s">
        <v>64</v>
      </c>
      <c r="B3122">
        <v>1977</v>
      </c>
      <c r="C3122">
        <v>35.231772653156305</v>
      </c>
    </row>
    <row r="3123" spans="1:3" x14ac:dyDescent="0.35">
      <c r="A3123" t="s">
        <v>64</v>
      </c>
      <c r="B3123">
        <v>1978</v>
      </c>
      <c r="C3123">
        <v>44.549266247379457</v>
      </c>
    </row>
    <row r="3124" spans="1:3" x14ac:dyDescent="0.35">
      <c r="A3124" t="s">
        <v>64</v>
      </c>
      <c r="B3124">
        <v>1979</v>
      </c>
      <c r="C3124">
        <v>32.278195003335419</v>
      </c>
    </row>
    <row r="3125" spans="1:3" x14ac:dyDescent="0.35">
      <c r="A3125" t="s">
        <v>64</v>
      </c>
      <c r="B3125">
        <v>1980</v>
      </c>
      <c r="C3125">
        <v>47.159888987657006</v>
      </c>
    </row>
    <row r="3126" spans="1:3" x14ac:dyDescent="0.35">
      <c r="A3126" t="s">
        <v>64</v>
      </c>
      <c r="B3126">
        <v>1981</v>
      </c>
      <c r="C3126">
        <v>71.92731270059916</v>
      </c>
    </row>
    <row r="3127" spans="1:3" x14ac:dyDescent="0.35">
      <c r="A3127" t="s">
        <v>64</v>
      </c>
      <c r="B3127">
        <v>1990</v>
      </c>
      <c r="C3127">
        <v>1142.4759796199316</v>
      </c>
    </row>
    <row r="3128" spans="1:3" x14ac:dyDescent="0.35">
      <c r="A3128" t="s">
        <v>64</v>
      </c>
      <c r="B3128">
        <v>1991</v>
      </c>
      <c r="C3128">
        <v>67.668345497245269</v>
      </c>
    </row>
    <row r="3129" spans="1:3" x14ac:dyDescent="0.35">
      <c r="A3129" t="s">
        <v>64</v>
      </c>
      <c r="B3129">
        <v>1992</v>
      </c>
      <c r="C3129">
        <v>47.2</v>
      </c>
    </row>
    <row r="3130" spans="1:3" x14ac:dyDescent="0.35">
      <c r="A3130" t="s">
        <v>64</v>
      </c>
      <c r="B3130">
        <v>1993</v>
      </c>
      <c r="C3130">
        <v>40.210589618906809</v>
      </c>
    </row>
    <row r="3131" spans="1:3" x14ac:dyDescent="0.35">
      <c r="A3131" t="s">
        <v>64</v>
      </c>
      <c r="B3131">
        <v>1994</v>
      </c>
      <c r="C3131">
        <v>35.40149459755343</v>
      </c>
    </row>
    <row r="3132" spans="1:3" x14ac:dyDescent="0.35">
      <c r="A3132" t="s">
        <v>64</v>
      </c>
      <c r="B3132">
        <v>1995</v>
      </c>
      <c r="C3132">
        <v>35.119851462907469</v>
      </c>
    </row>
    <row r="3133" spans="1:3" x14ac:dyDescent="0.35">
      <c r="A3133" t="s">
        <v>64</v>
      </c>
      <c r="B3133">
        <v>1996</v>
      </c>
      <c r="C3133">
        <v>31.533400509750464</v>
      </c>
    </row>
    <row r="3134" spans="1:3" x14ac:dyDescent="0.35">
      <c r="A3134" t="s">
        <v>64</v>
      </c>
      <c r="B3134">
        <v>1997</v>
      </c>
      <c r="C3134">
        <v>30.2707005021126</v>
      </c>
    </row>
    <row r="3135" spans="1:3" x14ac:dyDescent="0.35">
      <c r="A3135" t="s">
        <v>64</v>
      </c>
      <c r="B3135">
        <v>1998</v>
      </c>
      <c r="C3135">
        <v>26.271274534818893</v>
      </c>
    </row>
    <row r="3136" spans="1:3" x14ac:dyDescent="0.35">
      <c r="A3136" t="s">
        <v>64</v>
      </c>
      <c r="B3136">
        <v>1999</v>
      </c>
      <c r="C3136">
        <v>26.927929682538338</v>
      </c>
    </row>
    <row r="3137" spans="1:3" x14ac:dyDescent="0.35">
      <c r="A3137" t="s">
        <v>64</v>
      </c>
      <c r="B3137">
        <v>2000</v>
      </c>
      <c r="C3137">
        <v>30.82526568067863</v>
      </c>
    </row>
    <row r="3138" spans="1:3" x14ac:dyDescent="0.35">
      <c r="A3138" t="s">
        <v>64</v>
      </c>
      <c r="B3138">
        <v>2001</v>
      </c>
      <c r="C3138">
        <v>28.193450444589025</v>
      </c>
    </row>
    <row r="3139" spans="1:3" x14ac:dyDescent="0.35">
      <c r="A3139" t="s">
        <v>64</v>
      </c>
      <c r="B3139">
        <v>2002</v>
      </c>
      <c r="C3139">
        <v>34.831910071361904</v>
      </c>
    </row>
    <row r="3140" spans="1:3" x14ac:dyDescent="0.35">
      <c r="A3140" t="s">
        <v>64</v>
      </c>
      <c r="B3140">
        <v>2003</v>
      </c>
      <c r="C3140">
        <v>35.307124981793621</v>
      </c>
    </row>
    <row r="3141" spans="1:3" x14ac:dyDescent="0.35">
      <c r="A3141" t="s">
        <v>64</v>
      </c>
      <c r="B3141">
        <v>2004</v>
      </c>
      <c r="C3141">
        <v>32.628065155736266</v>
      </c>
    </row>
    <row r="3142" spans="1:3" x14ac:dyDescent="0.35">
      <c r="A3142" t="s">
        <v>64</v>
      </c>
      <c r="B3142">
        <v>2005</v>
      </c>
      <c r="C3142">
        <v>34.123573951342529</v>
      </c>
    </row>
    <row r="3143" spans="1:3" x14ac:dyDescent="0.35">
      <c r="A3143" t="s">
        <v>64</v>
      </c>
      <c r="B3143">
        <v>2006</v>
      </c>
      <c r="C3143">
        <v>37.285145133750717</v>
      </c>
    </row>
    <row r="3144" spans="1:3" x14ac:dyDescent="0.35">
      <c r="A3144" t="s">
        <v>64</v>
      </c>
      <c r="B3144">
        <v>2007</v>
      </c>
      <c r="C3144">
        <v>39.472043797598722</v>
      </c>
    </row>
    <row r="3145" spans="1:3" x14ac:dyDescent="0.35">
      <c r="A3145" t="s">
        <v>64</v>
      </c>
      <c r="B3145">
        <v>2008</v>
      </c>
      <c r="C3145">
        <v>42.659728782411634</v>
      </c>
    </row>
    <row r="3146" spans="1:3" x14ac:dyDescent="0.35">
      <c r="A3146" t="s">
        <v>64</v>
      </c>
      <c r="B3146">
        <v>2009</v>
      </c>
      <c r="C3146">
        <v>41.721772904938661</v>
      </c>
    </row>
    <row r="3147" spans="1:3" x14ac:dyDescent="0.35">
      <c r="A3147" t="s">
        <v>64</v>
      </c>
      <c r="B3147">
        <v>2010</v>
      </c>
      <c r="C3147">
        <v>44.272442921091574</v>
      </c>
    </row>
    <row r="3148" spans="1:3" x14ac:dyDescent="0.35">
      <c r="A3148" t="s">
        <v>64</v>
      </c>
      <c r="B3148">
        <v>2011</v>
      </c>
      <c r="C3148">
        <v>51.453111133903846</v>
      </c>
    </row>
    <row r="3149" spans="1:3" x14ac:dyDescent="0.35">
      <c r="A3149" t="s">
        <v>64</v>
      </c>
      <c r="B3149">
        <v>2012</v>
      </c>
      <c r="C3149">
        <v>70.132969800439113</v>
      </c>
    </row>
    <row r="3150" spans="1:3" x14ac:dyDescent="0.35">
      <c r="A3150" t="s">
        <v>64</v>
      </c>
      <c r="B3150">
        <v>2013</v>
      </c>
      <c r="C3150">
        <v>74.532010937272474</v>
      </c>
    </row>
    <row r="3151" spans="1:3" x14ac:dyDescent="0.35">
      <c r="A3151" t="s">
        <v>64</v>
      </c>
      <c r="B3151">
        <v>2014</v>
      </c>
      <c r="C3151">
        <v>81.391929941177722</v>
      </c>
    </row>
    <row r="3152" spans="1:3" x14ac:dyDescent="0.35">
      <c r="A3152" t="s">
        <v>64</v>
      </c>
      <c r="B3152">
        <v>2015</v>
      </c>
      <c r="C3152">
        <v>98.932947151031797</v>
      </c>
    </row>
    <row r="3153" spans="1:3" x14ac:dyDescent="0.35">
      <c r="A3153" t="s">
        <v>64</v>
      </c>
      <c r="B3153">
        <v>2016</v>
      </c>
      <c r="C3153">
        <v>85.01461149805229</v>
      </c>
    </row>
    <row r="3154" spans="1:3" x14ac:dyDescent="0.35">
      <c r="A3154" t="s">
        <v>64</v>
      </c>
      <c r="B3154">
        <v>2017</v>
      </c>
      <c r="C3154">
        <v>86.370006525381697</v>
      </c>
    </row>
    <row r="3155" spans="1:3" x14ac:dyDescent="0.35">
      <c r="A3155" t="s">
        <v>64</v>
      </c>
      <c r="B3155">
        <v>2018</v>
      </c>
      <c r="C3155">
        <v>81.690573141191948</v>
      </c>
    </row>
    <row r="3156" spans="1:3" x14ac:dyDescent="0.35">
      <c r="A3156" t="s">
        <v>64</v>
      </c>
      <c r="B3156">
        <v>2019</v>
      </c>
      <c r="C3156">
        <v>76.300327164487996</v>
      </c>
    </row>
    <row r="3157" spans="1:3" x14ac:dyDescent="0.35">
      <c r="A3157" t="s">
        <v>64</v>
      </c>
      <c r="B3157">
        <v>2020</v>
      </c>
      <c r="C3157">
        <v>79.511685110263727</v>
      </c>
    </row>
    <row r="3158" spans="1:3" x14ac:dyDescent="0.35">
      <c r="A3158" t="s">
        <v>64</v>
      </c>
      <c r="B3158">
        <v>2021</v>
      </c>
      <c r="C3158">
        <v>77.037864036723548</v>
      </c>
    </row>
    <row r="3159" spans="1:3" x14ac:dyDescent="0.35">
      <c r="A3159" t="s">
        <v>64</v>
      </c>
      <c r="B3159">
        <v>2022</v>
      </c>
      <c r="C3159">
        <v>84.174180485032622</v>
      </c>
    </row>
    <row r="3160" spans="1:3" x14ac:dyDescent="0.35">
      <c r="A3160" t="s">
        <v>64</v>
      </c>
      <c r="B3160">
        <v>2023</v>
      </c>
      <c r="C3160">
        <v>98.890831413052453</v>
      </c>
    </row>
    <row r="3161" spans="1:3" x14ac:dyDescent="0.35">
      <c r="A3161" t="s">
        <v>64</v>
      </c>
      <c r="B3161">
        <v>2024</v>
      </c>
      <c r="C3161">
        <v>108.62733212648433</v>
      </c>
    </row>
    <row r="3162" spans="1:3" x14ac:dyDescent="0.35">
      <c r="A3162" t="s">
        <v>64</v>
      </c>
      <c r="B3162">
        <v>2025</v>
      </c>
      <c r="C3162">
        <v>116.36734416423084</v>
      </c>
    </row>
    <row r="3163" spans="1:3" x14ac:dyDescent="0.35">
      <c r="A3163" t="s">
        <v>65</v>
      </c>
      <c r="B3163">
        <v>1987</v>
      </c>
      <c r="C3163">
        <v>103.8</v>
      </c>
    </row>
    <row r="3164" spans="1:3" x14ac:dyDescent="0.35">
      <c r="A3164" t="s">
        <v>65</v>
      </c>
      <c r="B3164">
        <v>1988</v>
      </c>
      <c r="C3164">
        <v>102.9</v>
      </c>
    </row>
    <row r="3165" spans="1:3" x14ac:dyDescent="0.35">
      <c r="A3165" t="s">
        <v>65</v>
      </c>
      <c r="B3165">
        <v>1989</v>
      </c>
      <c r="C3165">
        <v>101.9</v>
      </c>
    </row>
    <row r="3166" spans="1:3" x14ac:dyDescent="0.35">
      <c r="A3166" t="s">
        <v>65</v>
      </c>
      <c r="B3166">
        <v>1990</v>
      </c>
      <c r="C3166">
        <v>73.099999999999994</v>
      </c>
    </row>
    <row r="3167" spans="1:3" x14ac:dyDescent="0.35">
      <c r="A3167" t="s">
        <v>65</v>
      </c>
      <c r="B3167">
        <v>1991</v>
      </c>
      <c r="C3167">
        <v>78.599999999999994</v>
      </c>
    </row>
    <row r="3168" spans="1:3" x14ac:dyDescent="0.35">
      <c r="A3168" t="s">
        <v>65</v>
      </c>
      <c r="B3168">
        <v>1992</v>
      </c>
      <c r="C3168">
        <v>78.8</v>
      </c>
    </row>
    <row r="3169" spans="1:3" x14ac:dyDescent="0.35">
      <c r="A3169" t="s">
        <v>65</v>
      </c>
      <c r="B3169">
        <v>1993</v>
      </c>
      <c r="C3169">
        <v>95.2</v>
      </c>
    </row>
    <row r="3170" spans="1:3" x14ac:dyDescent="0.35">
      <c r="A3170" t="s">
        <v>65</v>
      </c>
      <c r="B3170">
        <v>1994</v>
      </c>
      <c r="C3170">
        <v>101</v>
      </c>
    </row>
    <row r="3171" spans="1:3" x14ac:dyDescent="0.35">
      <c r="A3171" t="s">
        <v>65</v>
      </c>
      <c r="B3171">
        <v>1995</v>
      </c>
      <c r="C3171">
        <v>96.6</v>
      </c>
    </row>
    <row r="3172" spans="1:3" x14ac:dyDescent="0.35">
      <c r="A3172" t="s">
        <v>65</v>
      </c>
      <c r="B3172">
        <v>1996</v>
      </c>
      <c r="C3172">
        <v>101.2</v>
      </c>
    </row>
    <row r="3173" spans="1:3" x14ac:dyDescent="0.35">
      <c r="A3173" t="s">
        <v>65</v>
      </c>
      <c r="B3173">
        <v>1997</v>
      </c>
      <c r="C3173">
        <v>118</v>
      </c>
    </row>
    <row r="3174" spans="1:3" x14ac:dyDescent="0.35">
      <c r="A3174" t="s">
        <v>65</v>
      </c>
      <c r="B3174">
        <v>1998</v>
      </c>
      <c r="C3174">
        <v>104</v>
      </c>
    </row>
    <row r="3175" spans="1:3" x14ac:dyDescent="0.35">
      <c r="A3175" t="s">
        <v>65</v>
      </c>
      <c r="B3175">
        <v>1999</v>
      </c>
      <c r="C3175">
        <v>111.6</v>
      </c>
    </row>
    <row r="3176" spans="1:3" x14ac:dyDescent="0.35">
      <c r="A3176" t="s">
        <v>65</v>
      </c>
      <c r="B3176">
        <v>2000</v>
      </c>
      <c r="C3176">
        <v>0</v>
      </c>
    </row>
    <row r="3177" spans="1:3" x14ac:dyDescent="0.35">
      <c r="A3177" t="s">
        <v>65</v>
      </c>
      <c r="B3177">
        <v>2001</v>
      </c>
      <c r="C3177">
        <v>0</v>
      </c>
    </row>
    <row r="3178" spans="1:3" x14ac:dyDescent="0.35">
      <c r="A3178" t="s">
        <v>65</v>
      </c>
      <c r="B3178">
        <v>2002</v>
      </c>
      <c r="C3178">
        <v>0</v>
      </c>
    </row>
    <row r="3179" spans="1:3" x14ac:dyDescent="0.35">
      <c r="A3179" t="s">
        <v>65</v>
      </c>
      <c r="B3179">
        <v>2003</v>
      </c>
      <c r="C3179">
        <v>0</v>
      </c>
    </row>
    <row r="3180" spans="1:3" x14ac:dyDescent="0.35">
      <c r="A3180" t="s">
        <v>65</v>
      </c>
      <c r="B3180">
        <v>2004</v>
      </c>
      <c r="C3180">
        <v>0</v>
      </c>
    </row>
    <row r="3181" spans="1:3" x14ac:dyDescent="0.35">
      <c r="A3181" t="s">
        <v>65</v>
      </c>
      <c r="B3181">
        <v>2005</v>
      </c>
      <c r="C3181">
        <v>0</v>
      </c>
    </row>
    <row r="3182" spans="1:3" x14ac:dyDescent="0.35">
      <c r="A3182" t="s">
        <v>65</v>
      </c>
      <c r="B3182">
        <v>2006</v>
      </c>
      <c r="C3182">
        <v>0</v>
      </c>
    </row>
    <row r="3183" spans="1:3" x14ac:dyDescent="0.35">
      <c r="A3183" t="s">
        <v>65</v>
      </c>
      <c r="B3183">
        <v>2007</v>
      </c>
      <c r="C3183">
        <v>0</v>
      </c>
    </row>
    <row r="3184" spans="1:3" x14ac:dyDescent="0.35">
      <c r="A3184" t="s">
        <v>65</v>
      </c>
      <c r="B3184">
        <v>2008</v>
      </c>
      <c r="C3184">
        <v>0</v>
      </c>
    </row>
    <row r="3185" spans="1:3" x14ac:dyDescent="0.35">
      <c r="A3185" t="s">
        <v>65</v>
      </c>
      <c r="B3185">
        <v>2009</v>
      </c>
      <c r="C3185">
        <v>0</v>
      </c>
    </row>
    <row r="3186" spans="1:3" x14ac:dyDescent="0.35">
      <c r="A3186" t="s">
        <v>65</v>
      </c>
      <c r="B3186">
        <v>2010</v>
      </c>
      <c r="C3186">
        <v>0</v>
      </c>
    </row>
    <row r="3187" spans="1:3" x14ac:dyDescent="0.35">
      <c r="A3187" t="s">
        <v>65</v>
      </c>
      <c r="B3187">
        <v>2011</v>
      </c>
      <c r="C3187">
        <v>0</v>
      </c>
    </row>
    <row r="3188" spans="1:3" x14ac:dyDescent="0.35">
      <c r="A3188" t="s">
        <v>65</v>
      </c>
      <c r="B3188">
        <v>2012</v>
      </c>
      <c r="C3188">
        <v>0</v>
      </c>
    </row>
    <row r="3189" spans="1:3" x14ac:dyDescent="0.35">
      <c r="A3189" t="s">
        <v>65</v>
      </c>
      <c r="B3189">
        <v>2013</v>
      </c>
      <c r="C3189">
        <v>0</v>
      </c>
    </row>
    <row r="3190" spans="1:3" x14ac:dyDescent="0.35">
      <c r="A3190" t="s">
        <v>65</v>
      </c>
      <c r="B3190">
        <v>2014</v>
      </c>
      <c r="C3190">
        <v>0</v>
      </c>
    </row>
    <row r="3191" spans="1:3" x14ac:dyDescent="0.35">
      <c r="A3191" t="s">
        <v>65</v>
      </c>
      <c r="B3191">
        <v>2015</v>
      </c>
      <c r="C3191">
        <v>0</v>
      </c>
    </row>
    <row r="3192" spans="1:3" x14ac:dyDescent="0.35">
      <c r="A3192" t="s">
        <v>65</v>
      </c>
      <c r="B3192">
        <v>2016</v>
      </c>
      <c r="C3192">
        <v>0</v>
      </c>
    </row>
    <row r="3193" spans="1:3" x14ac:dyDescent="0.35">
      <c r="A3193" t="s">
        <v>65</v>
      </c>
      <c r="B3193">
        <v>2017</v>
      </c>
      <c r="C3193">
        <v>0</v>
      </c>
    </row>
    <row r="3194" spans="1:3" x14ac:dyDescent="0.35">
      <c r="A3194" t="s">
        <v>65</v>
      </c>
      <c r="B3194">
        <v>2018</v>
      </c>
      <c r="C3194">
        <v>0</v>
      </c>
    </row>
    <row r="3195" spans="1:3" x14ac:dyDescent="0.35">
      <c r="A3195" t="s">
        <v>65</v>
      </c>
      <c r="B3195">
        <v>2019</v>
      </c>
      <c r="C3195">
        <v>0</v>
      </c>
    </row>
    <row r="3196" spans="1:3" x14ac:dyDescent="0.35">
      <c r="A3196" t="s">
        <v>65</v>
      </c>
      <c r="B3196">
        <v>2020</v>
      </c>
      <c r="C3196">
        <v>0</v>
      </c>
    </row>
    <row r="3197" spans="1:3" x14ac:dyDescent="0.35">
      <c r="A3197" t="s">
        <v>65</v>
      </c>
      <c r="B3197">
        <v>2021</v>
      </c>
      <c r="C3197">
        <v>0</v>
      </c>
    </row>
    <row r="3198" spans="1:3" x14ac:dyDescent="0.35">
      <c r="A3198" t="s">
        <v>65</v>
      </c>
      <c r="B3198">
        <v>2022</v>
      </c>
      <c r="C3198">
        <v>0</v>
      </c>
    </row>
    <row r="3199" spans="1:3" x14ac:dyDescent="0.35">
      <c r="A3199" t="s">
        <v>65</v>
      </c>
      <c r="B3199">
        <v>2023</v>
      </c>
      <c r="C3199">
        <v>0</v>
      </c>
    </row>
    <row r="3200" spans="1:3" x14ac:dyDescent="0.35">
      <c r="A3200" t="s">
        <v>65</v>
      </c>
      <c r="B3200">
        <v>2024</v>
      </c>
      <c r="C3200">
        <v>0</v>
      </c>
    </row>
    <row r="3201" spans="1:3" x14ac:dyDescent="0.35">
      <c r="A3201" t="s">
        <v>65</v>
      </c>
      <c r="B3201">
        <v>2025</v>
      </c>
      <c r="C3201">
        <v>0</v>
      </c>
    </row>
    <row r="3202" spans="1:3" x14ac:dyDescent="0.35">
      <c r="A3202" t="s">
        <v>66</v>
      </c>
      <c r="B3202">
        <v>1968</v>
      </c>
      <c r="C3202">
        <v>5.0875000000000004</v>
      </c>
    </row>
    <row r="3203" spans="1:3" x14ac:dyDescent="0.35">
      <c r="A3203" t="s">
        <v>66</v>
      </c>
      <c r="B3203">
        <v>1969</v>
      </c>
      <c r="C3203">
        <v>5.2625000000000002</v>
      </c>
    </row>
    <row r="3204" spans="1:3" x14ac:dyDescent="0.35">
      <c r="A3204" t="s">
        <v>66</v>
      </c>
      <c r="B3204">
        <v>1970</v>
      </c>
      <c r="C3204">
        <v>6.2</v>
      </c>
    </row>
    <row r="3205" spans="1:3" x14ac:dyDescent="0.35">
      <c r="A3205" t="s">
        <v>66</v>
      </c>
      <c r="B3205">
        <v>1971</v>
      </c>
      <c r="C3205">
        <v>8.6207769586000165</v>
      </c>
    </row>
    <row r="3206" spans="1:3" x14ac:dyDescent="0.35">
      <c r="A3206" t="s">
        <v>66</v>
      </c>
      <c r="B3206">
        <v>1972</v>
      </c>
      <c r="C3206">
        <v>9.1215231512325108</v>
      </c>
    </row>
    <row r="3207" spans="1:3" x14ac:dyDescent="0.35">
      <c r="A3207" t="s">
        <v>66</v>
      </c>
      <c r="B3207">
        <v>1973</v>
      </c>
      <c r="C3207">
        <v>8.9448862302344807</v>
      </c>
    </row>
    <row r="3208" spans="1:3" x14ac:dyDescent="0.35">
      <c r="A3208" t="s">
        <v>66</v>
      </c>
      <c r="B3208">
        <v>1974</v>
      </c>
      <c r="C3208">
        <v>8.5840358849227805</v>
      </c>
    </row>
    <row r="3209" spans="1:3" x14ac:dyDescent="0.35">
      <c r="A3209" t="s">
        <v>66</v>
      </c>
      <c r="B3209">
        <v>1975</v>
      </c>
      <c r="C3209">
        <v>10.703751497833903</v>
      </c>
    </row>
    <row r="3210" spans="1:3" x14ac:dyDescent="0.35">
      <c r="A3210" t="s">
        <v>66</v>
      </c>
      <c r="B3210">
        <v>1976</v>
      </c>
      <c r="C3210">
        <v>12.613977395424072</v>
      </c>
    </row>
    <row r="3211" spans="1:3" x14ac:dyDescent="0.35">
      <c r="A3211" t="s">
        <v>66</v>
      </c>
      <c r="B3211">
        <v>1977</v>
      </c>
      <c r="C3211">
        <v>15.364583333333334</v>
      </c>
    </row>
    <row r="3212" spans="1:3" x14ac:dyDescent="0.35">
      <c r="A3212" t="s">
        <v>66</v>
      </c>
      <c r="B3212">
        <v>1978</v>
      </c>
      <c r="C3212">
        <v>18.3125</v>
      </c>
    </row>
    <row r="3213" spans="1:3" x14ac:dyDescent="0.35">
      <c r="A3213" t="s">
        <v>66</v>
      </c>
      <c r="B3213">
        <v>1979</v>
      </c>
      <c r="C3213">
        <v>27.21875</v>
      </c>
    </row>
    <row r="3214" spans="1:3" x14ac:dyDescent="0.35">
      <c r="A3214" t="s">
        <v>66</v>
      </c>
      <c r="B3214">
        <v>1980</v>
      </c>
      <c r="C3214">
        <v>36.927083333333336</v>
      </c>
    </row>
    <row r="3215" spans="1:3" x14ac:dyDescent="0.35">
      <c r="A3215" t="s">
        <v>66</v>
      </c>
      <c r="B3215">
        <v>1981</v>
      </c>
      <c r="C3215">
        <v>35.166666666666671</v>
      </c>
    </row>
    <row r="3216" spans="1:3" x14ac:dyDescent="0.35">
      <c r="A3216" t="s">
        <v>66</v>
      </c>
      <c r="B3216">
        <v>1993</v>
      </c>
      <c r="C3216">
        <v>22.6448767543122</v>
      </c>
    </row>
    <row r="3217" spans="1:3" x14ac:dyDescent="0.35">
      <c r="A3217" t="s">
        <v>66</v>
      </c>
      <c r="B3217">
        <v>1994</v>
      </c>
      <c r="C3217">
        <v>24.202817586030555</v>
      </c>
    </row>
    <row r="3218" spans="1:3" x14ac:dyDescent="0.35">
      <c r="A3218" t="s">
        <v>66</v>
      </c>
      <c r="B3218">
        <v>2001</v>
      </c>
      <c r="C3218">
        <v>13.945440719243024</v>
      </c>
    </row>
    <row r="3219" spans="1:3" x14ac:dyDescent="0.35">
      <c r="A3219" t="s">
        <v>66</v>
      </c>
      <c r="B3219">
        <v>2002</v>
      </c>
      <c r="C3219">
        <v>19.492116735054445</v>
      </c>
    </row>
    <row r="3220" spans="1:3" x14ac:dyDescent="0.35">
      <c r="A3220" t="s">
        <v>66</v>
      </c>
      <c r="B3220">
        <v>2003</v>
      </c>
      <c r="C3220">
        <v>33.736557004654415</v>
      </c>
    </row>
    <row r="3221" spans="1:3" x14ac:dyDescent="0.35">
      <c r="A3221" t="s">
        <v>66</v>
      </c>
      <c r="B3221">
        <v>2004</v>
      </c>
      <c r="C3221">
        <v>75.889150482855186</v>
      </c>
    </row>
    <row r="3222" spans="1:3" x14ac:dyDescent="0.35">
      <c r="A3222" t="s">
        <v>66</v>
      </c>
      <c r="B3222">
        <v>2005</v>
      </c>
      <c r="C3222">
        <v>97.752858929830026</v>
      </c>
    </row>
    <row r="3223" spans="1:3" x14ac:dyDescent="0.35">
      <c r="A3223" t="s">
        <v>66</v>
      </c>
      <c r="B3223">
        <v>2006</v>
      </c>
      <c r="C3223">
        <v>115.56046309732774</v>
      </c>
    </row>
    <row r="3224" spans="1:3" x14ac:dyDescent="0.35">
      <c r="A3224" t="s">
        <v>66</v>
      </c>
      <c r="B3224">
        <v>2007</v>
      </c>
      <c r="C3224">
        <v>124.75051477316005</v>
      </c>
    </row>
    <row r="3225" spans="1:3" x14ac:dyDescent="0.35">
      <c r="A3225" t="s">
        <v>66</v>
      </c>
      <c r="B3225">
        <v>2008</v>
      </c>
      <c r="C3225">
        <v>139.09845566291381</v>
      </c>
    </row>
    <row r="3226" spans="1:3" x14ac:dyDescent="0.35">
      <c r="A3226" t="s">
        <v>66</v>
      </c>
      <c r="B3226">
        <v>2009</v>
      </c>
      <c r="C3226">
        <v>138.52371021880154</v>
      </c>
    </row>
    <row r="3227" spans="1:3" x14ac:dyDescent="0.35">
      <c r="A3227" t="s">
        <v>66</v>
      </c>
      <c r="B3227">
        <v>2010</v>
      </c>
      <c r="C3227">
        <v>143.06306475874086</v>
      </c>
    </row>
    <row r="3228" spans="1:3" x14ac:dyDescent="0.35">
      <c r="A3228" t="s">
        <v>66</v>
      </c>
      <c r="B3228">
        <v>2011</v>
      </c>
      <c r="C3228">
        <v>146.08069523972975</v>
      </c>
    </row>
    <row r="3229" spans="1:3" x14ac:dyDescent="0.35">
      <c r="A3229" t="s">
        <v>66</v>
      </c>
      <c r="B3229">
        <v>2012</v>
      </c>
      <c r="C3229">
        <v>168.76244245365189</v>
      </c>
    </row>
    <row r="3230" spans="1:3" x14ac:dyDescent="0.35">
      <c r="A3230" t="s">
        <v>66</v>
      </c>
      <c r="B3230">
        <v>2013</v>
      </c>
      <c r="C3230">
        <v>211.17602593971714</v>
      </c>
    </row>
    <row r="3231" spans="1:3" x14ac:dyDescent="0.35">
      <c r="A3231" t="s">
        <v>66</v>
      </c>
      <c r="B3231">
        <v>2014</v>
      </c>
      <c r="C3231">
        <v>188.8858067564197</v>
      </c>
    </row>
    <row r="3232" spans="1:3" x14ac:dyDescent="0.35">
      <c r="A3232" t="s">
        <v>66</v>
      </c>
      <c r="B3232">
        <v>2015</v>
      </c>
      <c r="C3232">
        <v>202.10690545973884</v>
      </c>
    </row>
    <row r="3233" spans="1:3" x14ac:dyDescent="0.35">
      <c r="A3233" t="s">
        <v>66</v>
      </c>
      <c r="B3233">
        <v>2016</v>
      </c>
      <c r="C3233">
        <v>215.98923371436877</v>
      </c>
    </row>
    <row r="3234" spans="1:3" x14ac:dyDescent="0.35">
      <c r="A3234" t="s">
        <v>66</v>
      </c>
      <c r="B3234">
        <v>2017</v>
      </c>
      <c r="C3234">
        <v>201.60335716735318</v>
      </c>
    </row>
    <row r="3235" spans="1:3" x14ac:dyDescent="0.35">
      <c r="A3235" t="s">
        <v>66</v>
      </c>
      <c r="B3235">
        <v>2018</v>
      </c>
      <c r="C3235">
        <v>165.96755912126335</v>
      </c>
    </row>
    <row r="3236" spans="1:3" x14ac:dyDescent="0.35">
      <c r="A3236" t="s">
        <v>66</v>
      </c>
      <c r="B3236">
        <v>2019</v>
      </c>
      <c r="C3236">
        <v>172.92619306723819</v>
      </c>
    </row>
    <row r="3237" spans="1:3" x14ac:dyDescent="0.35">
      <c r="A3237" t="s">
        <v>66</v>
      </c>
      <c r="B3237">
        <v>2020</v>
      </c>
      <c r="C3237">
        <v>170.57710158267281</v>
      </c>
    </row>
    <row r="3238" spans="1:3" x14ac:dyDescent="0.35">
      <c r="A3238" t="s">
        <v>66</v>
      </c>
      <c r="B3238">
        <v>2021</v>
      </c>
      <c r="C3238">
        <v>207.69679054306411</v>
      </c>
    </row>
    <row r="3239" spans="1:3" x14ac:dyDescent="0.35">
      <c r="A3239" t="s">
        <v>66</v>
      </c>
      <c r="B3239">
        <v>2022</v>
      </c>
      <c r="C3239">
        <v>218.28499404057291</v>
      </c>
    </row>
    <row r="3240" spans="1:3" x14ac:dyDescent="0.35">
      <c r="A3240" t="s">
        <v>66</v>
      </c>
      <c r="B3240">
        <v>2023</v>
      </c>
      <c r="C3240">
        <v>244.542346242869</v>
      </c>
    </row>
    <row r="3241" spans="1:3" x14ac:dyDescent="0.35">
      <c r="A3241" t="s">
        <v>66</v>
      </c>
      <c r="B3241">
        <v>2024</v>
      </c>
      <c r="C3241">
        <v>238.06231987068884</v>
      </c>
    </row>
    <row r="3242" spans="1:3" x14ac:dyDescent="0.35">
      <c r="A3242" t="s">
        <v>66</v>
      </c>
      <c r="B3242">
        <v>2025</v>
      </c>
      <c r="C3242">
        <v>229.89916050605453</v>
      </c>
    </row>
    <row r="3243" spans="1:3" x14ac:dyDescent="0.35">
      <c r="A3243" t="s">
        <v>67</v>
      </c>
      <c r="B3243">
        <v>1950</v>
      </c>
      <c r="C3243">
        <v>426.3085399449036</v>
      </c>
    </row>
    <row r="3244" spans="1:3" x14ac:dyDescent="0.35">
      <c r="A3244" t="s">
        <v>67</v>
      </c>
      <c r="B3244">
        <v>1951</v>
      </c>
      <c r="C3244">
        <v>986.46723646723649</v>
      </c>
    </row>
    <row r="3245" spans="1:3" x14ac:dyDescent="0.35">
      <c r="A3245" t="s">
        <v>67</v>
      </c>
      <c r="B3245">
        <v>1952</v>
      </c>
      <c r="C3245">
        <v>1747.9570990806947</v>
      </c>
    </row>
    <row r="3246" spans="1:3" x14ac:dyDescent="0.35">
      <c r="A3246" t="s">
        <v>67</v>
      </c>
      <c r="B3246">
        <v>1953</v>
      </c>
      <c r="C3246">
        <v>1979.908443540183</v>
      </c>
    </row>
    <row r="3247" spans="1:3" x14ac:dyDescent="0.35">
      <c r="A3247" t="s">
        <v>67</v>
      </c>
      <c r="B3247">
        <v>1954</v>
      </c>
      <c r="C3247">
        <v>1871.2744090441934</v>
      </c>
    </row>
    <row r="3248" spans="1:3" x14ac:dyDescent="0.35">
      <c r="A3248" t="s">
        <v>67</v>
      </c>
      <c r="B3248">
        <v>1955</v>
      </c>
      <c r="C3248">
        <v>1832.6572008113592</v>
      </c>
    </row>
    <row r="3249" spans="1:3" x14ac:dyDescent="0.35">
      <c r="A3249" t="s">
        <v>67</v>
      </c>
      <c r="B3249">
        <v>1956</v>
      </c>
      <c r="C3249">
        <v>1901.1686991869919</v>
      </c>
    </row>
    <row r="3250" spans="1:3" x14ac:dyDescent="0.35">
      <c r="A3250" t="s">
        <v>67</v>
      </c>
      <c r="B3250">
        <v>1957</v>
      </c>
      <c r="C3250">
        <v>1922.876362309016</v>
      </c>
    </row>
    <row r="3251" spans="1:3" x14ac:dyDescent="0.35">
      <c r="A3251" t="s">
        <v>67</v>
      </c>
      <c r="B3251">
        <v>1958</v>
      </c>
      <c r="C3251">
        <v>1815.6145426371922</v>
      </c>
    </row>
    <row r="3252" spans="1:3" x14ac:dyDescent="0.35">
      <c r="A3252" t="s">
        <v>67</v>
      </c>
      <c r="B3252">
        <v>1959</v>
      </c>
      <c r="C3252">
        <v>1737.535670830566</v>
      </c>
    </row>
    <row r="3253" spans="1:3" x14ac:dyDescent="0.35">
      <c r="A3253" t="s">
        <v>67</v>
      </c>
      <c r="B3253">
        <v>1960</v>
      </c>
      <c r="C3253">
        <v>1702.4427114106973</v>
      </c>
    </row>
    <row r="3254" spans="1:3" x14ac:dyDescent="0.35">
      <c r="A3254" t="s">
        <v>67</v>
      </c>
      <c r="B3254">
        <v>1961</v>
      </c>
      <c r="C3254">
        <v>1677.8208810842293</v>
      </c>
    </row>
    <row r="3255" spans="1:3" x14ac:dyDescent="0.35">
      <c r="A3255" t="s">
        <v>67</v>
      </c>
      <c r="B3255">
        <v>1962</v>
      </c>
      <c r="C3255">
        <v>1671.3137531929226</v>
      </c>
    </row>
    <row r="3256" spans="1:3" x14ac:dyDescent="0.35">
      <c r="A3256" t="s">
        <v>67</v>
      </c>
      <c r="B3256">
        <v>1963</v>
      </c>
      <c r="C3256">
        <v>1610.0917005869208</v>
      </c>
    </row>
    <row r="3257" spans="1:3" x14ac:dyDescent="0.35">
      <c r="A3257" t="s">
        <v>67</v>
      </c>
      <c r="B3257">
        <v>1964</v>
      </c>
      <c r="C3257">
        <v>1657.457282984582</v>
      </c>
    </row>
    <row r="3258" spans="1:3" x14ac:dyDescent="0.35">
      <c r="A3258" t="s">
        <v>67</v>
      </c>
      <c r="B3258">
        <v>1965</v>
      </c>
      <c r="C3258">
        <v>1574.7045399729122</v>
      </c>
    </row>
    <row r="3259" spans="1:3" x14ac:dyDescent="0.35">
      <c r="A3259" t="s">
        <v>67</v>
      </c>
      <c r="B3259">
        <v>1966</v>
      </c>
      <c r="C3259">
        <v>1614.4228270151859</v>
      </c>
    </row>
    <row r="3260" spans="1:3" x14ac:dyDescent="0.35">
      <c r="A3260" t="s">
        <v>67</v>
      </c>
      <c r="B3260">
        <v>1967</v>
      </c>
      <c r="C3260">
        <v>1775.5003661781202</v>
      </c>
    </row>
    <row r="3261" spans="1:3" x14ac:dyDescent="0.35">
      <c r="A3261" t="s">
        <v>67</v>
      </c>
      <c r="B3261">
        <v>1968</v>
      </c>
      <c r="C3261">
        <v>1797.2658171457213</v>
      </c>
    </row>
    <row r="3262" spans="1:3" x14ac:dyDescent="0.35">
      <c r="A3262" t="s">
        <v>67</v>
      </c>
      <c r="B3262">
        <v>1969</v>
      </c>
      <c r="C3262">
        <v>1770.1087511724879</v>
      </c>
    </row>
    <row r="3263" spans="1:3" x14ac:dyDescent="0.35">
      <c r="A3263" t="s">
        <v>67</v>
      </c>
      <c r="B3263">
        <v>1970</v>
      </c>
      <c r="C3263">
        <v>1889.1579179068053</v>
      </c>
    </row>
    <row r="3264" spans="1:3" x14ac:dyDescent="0.35">
      <c r="A3264" t="s">
        <v>67</v>
      </c>
      <c r="B3264">
        <v>1971</v>
      </c>
      <c r="C3264">
        <v>2077.6597114251476</v>
      </c>
    </row>
    <row r="3265" spans="1:3" x14ac:dyDescent="0.35">
      <c r="A3265" t="s">
        <v>67</v>
      </c>
      <c r="B3265">
        <v>1972</v>
      </c>
      <c r="C3265">
        <v>2233.7370306879352</v>
      </c>
    </row>
    <row r="3266" spans="1:3" x14ac:dyDescent="0.35">
      <c r="A3266" t="s">
        <v>67</v>
      </c>
      <c r="B3266">
        <v>1973</v>
      </c>
      <c r="C3266">
        <v>2363.0609551235898</v>
      </c>
    </row>
    <row r="3267" spans="1:3" x14ac:dyDescent="0.35">
      <c r="A3267" t="s">
        <v>67</v>
      </c>
      <c r="B3267">
        <v>1974</v>
      </c>
      <c r="C3267">
        <v>2809.4655292817315</v>
      </c>
    </row>
    <row r="3268" spans="1:3" x14ac:dyDescent="0.35">
      <c r="A3268" t="s">
        <v>67</v>
      </c>
      <c r="B3268">
        <v>1975</v>
      </c>
      <c r="C3268">
        <v>3180.9154901883676</v>
      </c>
    </row>
    <row r="3269" spans="1:3" x14ac:dyDescent="0.35">
      <c r="A3269" t="s">
        <v>67</v>
      </c>
      <c r="B3269">
        <v>1976</v>
      </c>
      <c r="C3269">
        <v>3581.8057351487032</v>
      </c>
    </row>
    <row r="3270" spans="1:3" x14ac:dyDescent="0.35">
      <c r="A3270" t="s">
        <v>67</v>
      </c>
      <c r="B3270">
        <v>1977</v>
      </c>
      <c r="C3270">
        <v>3752.174526305891</v>
      </c>
    </row>
    <row r="3271" spans="1:3" x14ac:dyDescent="0.35">
      <c r="A3271" t="s">
        <v>67</v>
      </c>
      <c r="B3271">
        <v>1978</v>
      </c>
      <c r="C3271">
        <v>3969.1584770354261</v>
      </c>
    </row>
    <row r="3272" spans="1:3" x14ac:dyDescent="0.35">
      <c r="A3272" t="s">
        <v>67</v>
      </c>
      <c r="B3272">
        <v>1979</v>
      </c>
      <c r="C3272">
        <v>4084.1457376517392</v>
      </c>
    </row>
    <row r="3273" spans="1:3" x14ac:dyDescent="0.35">
      <c r="A3273" t="s">
        <v>67</v>
      </c>
      <c r="B3273">
        <v>1980</v>
      </c>
      <c r="C3273">
        <v>4744.4022510733648</v>
      </c>
    </row>
    <row r="3274" spans="1:3" x14ac:dyDescent="0.35">
      <c r="A3274" t="s">
        <v>67</v>
      </c>
      <c r="B3274">
        <v>1981</v>
      </c>
      <c r="C3274">
        <v>5141.1281914405581</v>
      </c>
    </row>
    <row r="3275" spans="1:3" x14ac:dyDescent="0.35">
      <c r="A3275" t="s">
        <v>67</v>
      </c>
      <c r="B3275">
        <v>1982</v>
      </c>
      <c r="C3275">
        <v>6017.3214560722363</v>
      </c>
    </row>
    <row r="3276" spans="1:3" x14ac:dyDescent="0.35">
      <c r="A3276" t="s">
        <v>67</v>
      </c>
      <c r="B3276">
        <v>1983</v>
      </c>
      <c r="C3276">
        <v>6947.1040716638799</v>
      </c>
    </row>
    <row r="3277" spans="1:3" x14ac:dyDescent="0.35">
      <c r="A3277" t="s">
        <v>67</v>
      </c>
      <c r="B3277">
        <v>1984</v>
      </c>
      <c r="C3277">
        <v>7349.79576393554</v>
      </c>
    </row>
    <row r="3278" spans="1:3" x14ac:dyDescent="0.35">
      <c r="A3278" t="s">
        <v>67</v>
      </c>
      <c r="B3278">
        <v>1985</v>
      </c>
      <c r="C3278">
        <v>7460.5633183935315</v>
      </c>
    </row>
    <row r="3279" spans="1:3" x14ac:dyDescent="0.35">
      <c r="A3279" t="s">
        <v>67</v>
      </c>
      <c r="B3279">
        <v>1986</v>
      </c>
      <c r="C3279">
        <v>7780.1367398344728</v>
      </c>
    </row>
    <row r="3280" spans="1:3" x14ac:dyDescent="0.35">
      <c r="A3280" t="s">
        <v>67</v>
      </c>
      <c r="B3280">
        <v>1987</v>
      </c>
      <c r="C3280">
        <v>8694.4471677765287</v>
      </c>
    </row>
    <row r="3281" spans="1:3" x14ac:dyDescent="0.35">
      <c r="A3281" t="s">
        <v>67</v>
      </c>
      <c r="B3281">
        <v>1988</v>
      </c>
      <c r="C3281">
        <v>9897.3356842798057</v>
      </c>
    </row>
    <row r="3282" spans="1:3" x14ac:dyDescent="0.35">
      <c r="A3282" t="s">
        <v>67</v>
      </c>
      <c r="B3282">
        <v>1989</v>
      </c>
      <c r="C3282">
        <v>10747.13468863757</v>
      </c>
    </row>
    <row r="3283" spans="1:3" x14ac:dyDescent="0.35">
      <c r="A3283" t="s">
        <v>67</v>
      </c>
      <c r="B3283">
        <v>1990</v>
      </c>
      <c r="C3283">
        <v>11414.631846893561</v>
      </c>
    </row>
    <row r="3284" spans="1:3" x14ac:dyDescent="0.35">
      <c r="A3284" t="s">
        <v>67</v>
      </c>
      <c r="B3284">
        <v>1991</v>
      </c>
      <c r="C3284">
        <v>11338.503299235415</v>
      </c>
    </row>
    <row r="3285" spans="1:3" x14ac:dyDescent="0.35">
      <c r="A3285" t="s">
        <v>67</v>
      </c>
      <c r="B3285">
        <v>1992</v>
      </c>
      <c r="C3285">
        <v>10788.803123940002</v>
      </c>
    </row>
    <row r="3286" spans="1:3" x14ac:dyDescent="0.35">
      <c r="A3286" t="s">
        <v>67</v>
      </c>
      <c r="B3286">
        <v>1993</v>
      </c>
      <c r="C3286">
        <v>10268.822622028261</v>
      </c>
    </row>
    <row r="3287" spans="1:3" x14ac:dyDescent="0.35">
      <c r="A3287" t="s">
        <v>67</v>
      </c>
      <c r="B3287">
        <v>1994</v>
      </c>
      <c r="C3287">
        <v>9577.3776397879392</v>
      </c>
    </row>
    <row r="3288" spans="1:3" x14ac:dyDescent="0.35">
      <c r="A3288" t="s">
        <v>67</v>
      </c>
      <c r="B3288">
        <v>1995</v>
      </c>
      <c r="C3288">
        <v>9176.903908367578</v>
      </c>
    </row>
    <row r="3289" spans="1:3" x14ac:dyDescent="0.35">
      <c r="A3289" t="s">
        <v>67</v>
      </c>
      <c r="B3289">
        <v>1996</v>
      </c>
      <c r="C3289">
        <v>8615.8844712388254</v>
      </c>
    </row>
    <row r="3290" spans="1:3" x14ac:dyDescent="0.35">
      <c r="A3290" t="s">
        <v>67</v>
      </c>
      <c r="B3290">
        <v>1997</v>
      </c>
      <c r="C3290">
        <v>7945.1401828660573</v>
      </c>
    </row>
    <row r="3291" spans="1:3" x14ac:dyDescent="0.35">
      <c r="A3291" t="s">
        <v>67</v>
      </c>
      <c r="B3291">
        <v>1998</v>
      </c>
      <c r="C3291">
        <v>7748.6079840373186</v>
      </c>
    </row>
    <row r="3292" spans="1:3" x14ac:dyDescent="0.35">
      <c r="A3292" t="s">
        <v>67</v>
      </c>
      <c r="B3292">
        <v>1999</v>
      </c>
      <c r="C3292">
        <v>8210.7785398423675</v>
      </c>
    </row>
    <row r="3293" spans="1:3" x14ac:dyDescent="0.35">
      <c r="A3293" t="s">
        <v>67</v>
      </c>
      <c r="B3293">
        <v>2000</v>
      </c>
      <c r="C3293">
        <v>8299.3852307236502</v>
      </c>
    </row>
    <row r="3294" spans="1:3" x14ac:dyDescent="0.35">
      <c r="A3294" t="s">
        <v>67</v>
      </c>
      <c r="B3294">
        <v>2001</v>
      </c>
      <c r="C3294">
        <v>8375.5714248818422</v>
      </c>
    </row>
    <row r="3295" spans="1:3" x14ac:dyDescent="0.35">
      <c r="A3295" t="s">
        <v>67</v>
      </c>
      <c r="B3295">
        <v>2002</v>
      </c>
      <c r="C3295">
        <v>8495.3992812173419</v>
      </c>
    </row>
    <row r="3296" spans="1:3" x14ac:dyDescent="0.35">
      <c r="A3296" t="s">
        <v>67</v>
      </c>
      <c r="B3296">
        <v>2003</v>
      </c>
      <c r="C3296">
        <v>9958.245601513152</v>
      </c>
    </row>
    <row r="3297" spans="1:3" x14ac:dyDescent="0.35">
      <c r="A3297" t="s">
        <v>67</v>
      </c>
      <c r="B3297">
        <v>2004</v>
      </c>
      <c r="C3297">
        <v>11336.489831055633</v>
      </c>
    </row>
    <row r="3298" spans="1:3" x14ac:dyDescent="0.35">
      <c r="A3298" t="s">
        <v>67</v>
      </c>
      <c r="B3298">
        <v>2005</v>
      </c>
      <c r="C3298">
        <v>12988.132963623159</v>
      </c>
    </row>
    <row r="3299" spans="1:3" x14ac:dyDescent="0.35">
      <c r="A3299" t="s">
        <v>67</v>
      </c>
      <c r="B3299">
        <v>2006</v>
      </c>
      <c r="C3299">
        <v>14809.892802990233</v>
      </c>
    </row>
    <row r="3300" spans="1:3" x14ac:dyDescent="0.35">
      <c r="A3300" t="s">
        <v>67</v>
      </c>
      <c r="B3300">
        <v>2007</v>
      </c>
      <c r="C3300">
        <v>17417.13993110511</v>
      </c>
    </row>
    <row r="3301" spans="1:3" x14ac:dyDescent="0.35">
      <c r="A3301" t="s">
        <v>67</v>
      </c>
      <c r="B3301">
        <v>2008</v>
      </c>
      <c r="C3301">
        <v>19342.058404558404</v>
      </c>
    </row>
    <row r="3302" spans="1:3" x14ac:dyDescent="0.35">
      <c r="A3302" t="s">
        <v>67</v>
      </c>
      <c r="B3302">
        <v>2009</v>
      </c>
      <c r="C3302">
        <v>18936.22605196396</v>
      </c>
    </row>
    <row r="3303" spans="1:3" x14ac:dyDescent="0.35">
      <c r="A3303" t="s">
        <v>67</v>
      </c>
      <c r="B3303">
        <v>2010</v>
      </c>
      <c r="C3303">
        <v>19315.688825036887</v>
      </c>
    </row>
    <row r="3304" spans="1:3" x14ac:dyDescent="0.35">
      <c r="A3304" t="s">
        <v>67</v>
      </c>
      <c r="B3304">
        <v>2011</v>
      </c>
      <c r="C3304">
        <v>21393.720863722308</v>
      </c>
    </row>
    <row r="3305" spans="1:3" x14ac:dyDescent="0.35">
      <c r="A3305" t="s">
        <v>67</v>
      </c>
      <c r="B3305">
        <v>2012</v>
      </c>
      <c r="C3305">
        <v>20452.107110974113</v>
      </c>
    </row>
    <row r="3306" spans="1:3" x14ac:dyDescent="0.35">
      <c r="A3306" t="s">
        <v>67</v>
      </c>
      <c r="B3306">
        <v>2013</v>
      </c>
      <c r="C3306">
        <v>18515.731209943675</v>
      </c>
    </row>
    <row r="3307" spans="1:3" x14ac:dyDescent="0.35">
      <c r="A3307" t="s">
        <v>67</v>
      </c>
      <c r="B3307">
        <v>2014</v>
      </c>
      <c r="C3307">
        <v>19686.094098901645</v>
      </c>
    </row>
    <row r="3308" spans="1:3" x14ac:dyDescent="0.35">
      <c r="A3308" t="s">
        <v>67</v>
      </c>
      <c r="B3308">
        <v>2015</v>
      </c>
      <c r="C3308">
        <v>18221.578234752535</v>
      </c>
    </row>
    <row r="3309" spans="1:3" x14ac:dyDescent="0.35">
      <c r="A3309" t="s">
        <v>67</v>
      </c>
      <c r="B3309">
        <v>2016</v>
      </c>
      <c r="C3309">
        <v>17461.037063332555</v>
      </c>
    </row>
    <row r="3310" spans="1:3" x14ac:dyDescent="0.35">
      <c r="A3310" t="s">
        <v>67</v>
      </c>
      <c r="B3310">
        <v>2017</v>
      </c>
      <c r="C3310">
        <v>21371.611227442154</v>
      </c>
    </row>
    <row r="3311" spans="1:3" x14ac:dyDescent="0.35">
      <c r="A3311" t="s">
        <v>67</v>
      </c>
      <c r="B3311">
        <v>2018</v>
      </c>
      <c r="C3311">
        <v>21586.500490545379</v>
      </c>
    </row>
    <row r="3312" spans="1:3" x14ac:dyDescent="0.35">
      <c r="A3312" t="s">
        <v>67</v>
      </c>
      <c r="B3312">
        <v>2019</v>
      </c>
      <c r="C3312">
        <v>21276.665648078371</v>
      </c>
    </row>
    <row r="3313" spans="1:3" x14ac:dyDescent="0.35">
      <c r="A3313" t="s">
        <v>67</v>
      </c>
      <c r="B3313">
        <v>2020</v>
      </c>
      <c r="C3313">
        <v>23457.917015287097</v>
      </c>
    </row>
    <row r="3314" spans="1:3" x14ac:dyDescent="0.35">
      <c r="A3314" t="s">
        <v>67</v>
      </c>
      <c r="B3314">
        <v>2021</v>
      </c>
      <c r="C3314">
        <v>24698.524102870811</v>
      </c>
    </row>
    <row r="3315" spans="1:3" x14ac:dyDescent="0.35">
      <c r="A3315" t="s">
        <v>67</v>
      </c>
      <c r="B3315">
        <v>2022</v>
      </c>
      <c r="C3315">
        <v>25122.741481581306</v>
      </c>
    </row>
    <row r="3316" spans="1:3" x14ac:dyDescent="0.35">
      <c r="A3316" t="s">
        <v>67</v>
      </c>
      <c r="B3316">
        <v>2023</v>
      </c>
      <c r="C3316">
        <v>28878.130615249378</v>
      </c>
    </row>
    <row r="3317" spans="1:3" x14ac:dyDescent="0.35">
      <c r="A3317" t="s">
        <v>67</v>
      </c>
      <c r="B3317">
        <v>2024</v>
      </c>
      <c r="C3317">
        <v>30617.562312508773</v>
      </c>
    </row>
    <row r="3318" spans="1:3" x14ac:dyDescent="0.35">
      <c r="A3318" t="s">
        <v>67</v>
      </c>
      <c r="B3318">
        <v>2025</v>
      </c>
      <c r="C3318">
        <v>37494.244642371596</v>
      </c>
    </row>
    <row r="3319" spans="1:3" x14ac:dyDescent="0.35">
      <c r="A3319" t="s">
        <v>68</v>
      </c>
      <c r="B3319">
        <v>1949</v>
      </c>
      <c r="C3319">
        <v>14088.155590698121</v>
      </c>
    </row>
    <row r="3320" spans="1:3" x14ac:dyDescent="0.35">
      <c r="A3320" t="s">
        <v>68</v>
      </c>
      <c r="B3320">
        <v>1950</v>
      </c>
      <c r="C3320">
        <v>14926.997114427759</v>
      </c>
    </row>
    <row r="3321" spans="1:3" x14ac:dyDescent="0.35">
      <c r="A3321" t="s">
        <v>68</v>
      </c>
      <c r="B3321">
        <v>1951</v>
      </c>
      <c r="C3321">
        <v>34491.619319624464</v>
      </c>
    </row>
    <row r="3322" spans="1:3" x14ac:dyDescent="0.35">
      <c r="A3322" t="s">
        <v>68</v>
      </c>
      <c r="B3322">
        <v>1952</v>
      </c>
      <c r="C3322">
        <v>49660.670207068746</v>
      </c>
    </row>
    <row r="3323" spans="1:3" x14ac:dyDescent="0.35">
      <c r="A3323" t="s">
        <v>68</v>
      </c>
      <c r="B3323">
        <v>1953</v>
      </c>
      <c r="C3323">
        <v>51516.763578604834</v>
      </c>
    </row>
    <row r="3324" spans="1:3" x14ac:dyDescent="0.35">
      <c r="A3324" t="s">
        <v>68</v>
      </c>
      <c r="B3324">
        <v>1954</v>
      </c>
      <c r="C3324">
        <v>44640.141087433149</v>
      </c>
    </row>
    <row r="3325" spans="1:3" x14ac:dyDescent="0.35">
      <c r="A3325" t="s">
        <v>68</v>
      </c>
      <c r="B3325">
        <v>1955</v>
      </c>
      <c r="C3325">
        <v>42120.48651055868</v>
      </c>
    </row>
    <row r="3326" spans="1:3" x14ac:dyDescent="0.35">
      <c r="A3326" t="s">
        <v>68</v>
      </c>
      <c r="B3326">
        <v>1956</v>
      </c>
      <c r="C3326">
        <v>43311.97534152789</v>
      </c>
    </row>
    <row r="3327" spans="1:3" x14ac:dyDescent="0.35">
      <c r="A3327" t="s">
        <v>68</v>
      </c>
      <c r="B3327">
        <v>1957</v>
      </c>
      <c r="C3327">
        <v>46072.640356190343</v>
      </c>
    </row>
    <row r="3328" spans="1:3" x14ac:dyDescent="0.35">
      <c r="A3328" t="s">
        <v>68</v>
      </c>
      <c r="B3328">
        <v>1958</v>
      </c>
      <c r="C3328">
        <v>47050.245465313077</v>
      </c>
    </row>
    <row r="3329" spans="1:3" x14ac:dyDescent="0.35">
      <c r="A3329" t="s">
        <v>68</v>
      </c>
      <c r="B3329">
        <v>1959</v>
      </c>
      <c r="C3329">
        <v>47819.183528731912</v>
      </c>
    </row>
    <row r="3330" spans="1:3" x14ac:dyDescent="0.35">
      <c r="A3330" t="s">
        <v>68</v>
      </c>
      <c r="B3330">
        <v>1960</v>
      </c>
      <c r="C3330">
        <v>47346.552670212608</v>
      </c>
    </row>
    <row r="3331" spans="1:3" x14ac:dyDescent="0.35">
      <c r="A3331" t="s">
        <v>68</v>
      </c>
      <c r="B3331">
        <v>1961</v>
      </c>
      <c r="C3331">
        <v>49879.77060505782</v>
      </c>
    </row>
    <row r="3332" spans="1:3" x14ac:dyDescent="0.35">
      <c r="A3332" t="s">
        <v>68</v>
      </c>
      <c r="B3332">
        <v>1962</v>
      </c>
      <c r="C3332">
        <v>54650.94260507726</v>
      </c>
    </row>
    <row r="3333" spans="1:3" x14ac:dyDescent="0.35">
      <c r="A3333" t="s">
        <v>68</v>
      </c>
      <c r="B3333">
        <v>1963</v>
      </c>
      <c r="C3333">
        <v>54561.215775424593</v>
      </c>
    </row>
    <row r="3334" spans="1:3" x14ac:dyDescent="0.35">
      <c r="A3334" t="s">
        <v>68</v>
      </c>
      <c r="B3334">
        <v>1964</v>
      </c>
      <c r="C3334">
        <v>53432.327058166542</v>
      </c>
    </row>
    <row r="3335" spans="1:3" x14ac:dyDescent="0.35">
      <c r="A3335" t="s">
        <v>68</v>
      </c>
      <c r="B3335">
        <v>1965</v>
      </c>
      <c r="C3335">
        <v>54561.791263226645</v>
      </c>
    </row>
    <row r="3336" spans="1:3" x14ac:dyDescent="0.35">
      <c r="A3336" t="s">
        <v>68</v>
      </c>
      <c r="B3336">
        <v>1966</v>
      </c>
      <c r="C3336">
        <v>66442.751527317843</v>
      </c>
    </row>
    <row r="3337" spans="1:3" x14ac:dyDescent="0.35">
      <c r="A3337" t="s">
        <v>68</v>
      </c>
      <c r="B3337">
        <v>1967</v>
      </c>
      <c r="C3337">
        <v>78398.442240523873</v>
      </c>
    </row>
    <row r="3338" spans="1:3" x14ac:dyDescent="0.35">
      <c r="A3338" t="s">
        <v>68</v>
      </c>
      <c r="B3338">
        <v>1968</v>
      </c>
      <c r="C3338">
        <v>84329.031218248099</v>
      </c>
    </row>
    <row r="3339" spans="1:3" x14ac:dyDescent="0.35">
      <c r="A3339" t="s">
        <v>68</v>
      </c>
      <c r="B3339">
        <v>1969</v>
      </c>
      <c r="C3339">
        <v>84990.165430773719</v>
      </c>
    </row>
    <row r="3340" spans="1:3" x14ac:dyDescent="0.35">
      <c r="A3340" t="s">
        <v>68</v>
      </c>
      <c r="B3340">
        <v>1970</v>
      </c>
      <c r="C3340">
        <v>83407.993004888165</v>
      </c>
    </row>
    <row r="3341" spans="1:3" x14ac:dyDescent="0.35">
      <c r="A3341" t="s">
        <v>68</v>
      </c>
      <c r="B3341">
        <v>1971</v>
      </c>
      <c r="C3341">
        <v>78237.979893080032</v>
      </c>
    </row>
    <row r="3342" spans="1:3" x14ac:dyDescent="0.35">
      <c r="A3342" t="s">
        <v>68</v>
      </c>
      <c r="B3342">
        <v>1972</v>
      </c>
      <c r="C3342">
        <v>80708.070966493528</v>
      </c>
    </row>
    <row r="3343" spans="1:3" x14ac:dyDescent="0.35">
      <c r="A3343" t="s">
        <v>68</v>
      </c>
      <c r="B3343">
        <v>1973</v>
      </c>
      <c r="C3343">
        <v>81469.794407588677</v>
      </c>
    </row>
    <row r="3344" spans="1:3" x14ac:dyDescent="0.35">
      <c r="A3344" t="s">
        <v>68</v>
      </c>
      <c r="B3344">
        <v>1974</v>
      </c>
      <c r="C3344">
        <v>89278.920339820019</v>
      </c>
    </row>
    <row r="3345" spans="1:3" x14ac:dyDescent="0.35">
      <c r="A3345" t="s">
        <v>68</v>
      </c>
      <c r="B3345">
        <v>1975</v>
      </c>
      <c r="C3345">
        <v>92080.928753647167</v>
      </c>
    </row>
    <row r="3346" spans="1:3" x14ac:dyDescent="0.35">
      <c r="A3346" t="s">
        <v>68</v>
      </c>
      <c r="B3346">
        <v>1976</v>
      </c>
      <c r="C3346">
        <v>94715.251079714304</v>
      </c>
    </row>
    <row r="3347" spans="1:3" x14ac:dyDescent="0.35">
      <c r="A3347" t="s">
        <v>68</v>
      </c>
      <c r="B3347">
        <v>1977</v>
      </c>
      <c r="C3347">
        <v>104665.21897162787</v>
      </c>
    </row>
    <row r="3348" spans="1:3" x14ac:dyDescent="0.35">
      <c r="A3348" t="s">
        <v>68</v>
      </c>
      <c r="B3348">
        <v>1978</v>
      </c>
      <c r="C3348">
        <v>113382.06374909346</v>
      </c>
    </row>
    <row r="3349" spans="1:3" x14ac:dyDescent="0.35">
      <c r="A3349" t="s">
        <v>68</v>
      </c>
      <c r="B3349">
        <v>1979</v>
      </c>
      <c r="C3349">
        <v>126879.92711675582</v>
      </c>
    </row>
    <row r="3350" spans="1:3" x14ac:dyDescent="0.35">
      <c r="A3350" t="s">
        <v>68</v>
      </c>
      <c r="B3350">
        <v>1980</v>
      </c>
      <c r="C3350">
        <v>143688.35487267602</v>
      </c>
    </row>
    <row r="3351" spans="1:3" x14ac:dyDescent="0.35">
      <c r="A3351" t="s">
        <v>68</v>
      </c>
      <c r="B3351">
        <v>1981</v>
      </c>
      <c r="C3351">
        <v>176558.87527082098</v>
      </c>
    </row>
    <row r="3352" spans="1:3" x14ac:dyDescent="0.35">
      <c r="A3352" t="s">
        <v>68</v>
      </c>
      <c r="B3352">
        <v>1982</v>
      </c>
      <c r="C3352">
        <v>221673.54258401977</v>
      </c>
    </row>
    <row r="3353" spans="1:3" x14ac:dyDescent="0.35">
      <c r="A3353" t="s">
        <v>68</v>
      </c>
      <c r="B3353">
        <v>1983</v>
      </c>
      <c r="C3353">
        <v>223427.16500573026</v>
      </c>
    </row>
    <row r="3354" spans="1:3" x14ac:dyDescent="0.35">
      <c r="A3354" t="s">
        <v>68</v>
      </c>
      <c r="B3354">
        <v>1984</v>
      </c>
      <c r="C3354">
        <v>245149.16828853701</v>
      </c>
    </row>
    <row r="3355" spans="1:3" x14ac:dyDescent="0.35">
      <c r="A3355" t="s">
        <v>68</v>
      </c>
      <c r="B3355">
        <v>1985</v>
      </c>
      <c r="C3355">
        <v>272163.22931305738</v>
      </c>
    </row>
    <row r="3356" spans="1:3" x14ac:dyDescent="0.35">
      <c r="A3356" t="s">
        <v>68</v>
      </c>
      <c r="B3356">
        <v>1986</v>
      </c>
      <c r="C3356">
        <v>295546.22380359861</v>
      </c>
    </row>
    <row r="3357" spans="1:3" x14ac:dyDescent="0.35">
      <c r="A3357" t="s">
        <v>68</v>
      </c>
      <c r="B3357">
        <v>1987</v>
      </c>
      <c r="C3357">
        <v>304086.64868290786</v>
      </c>
    </row>
    <row r="3358" spans="1:3" x14ac:dyDescent="0.35">
      <c r="A3358" t="s">
        <v>68</v>
      </c>
      <c r="B3358">
        <v>1988</v>
      </c>
      <c r="C3358">
        <v>309661.26930095372</v>
      </c>
    </row>
    <row r="3359" spans="1:3" x14ac:dyDescent="0.35">
      <c r="A3359" t="s">
        <v>68</v>
      </c>
      <c r="B3359">
        <v>1989</v>
      </c>
      <c r="C3359">
        <v>321866.55880832026</v>
      </c>
    </row>
    <row r="3360" spans="1:3" x14ac:dyDescent="0.35">
      <c r="A3360" t="s">
        <v>68</v>
      </c>
      <c r="B3360">
        <v>1990</v>
      </c>
      <c r="C3360">
        <v>325129.31398603145</v>
      </c>
    </row>
    <row r="3361" spans="1:3" x14ac:dyDescent="0.35">
      <c r="A3361" t="s">
        <v>68</v>
      </c>
      <c r="B3361">
        <v>1991</v>
      </c>
      <c r="C3361">
        <v>299372.77911459142</v>
      </c>
    </row>
    <row r="3362" spans="1:3" x14ac:dyDescent="0.35">
      <c r="A3362" t="s">
        <v>68</v>
      </c>
      <c r="B3362">
        <v>1992</v>
      </c>
      <c r="C3362">
        <v>325033.735954804</v>
      </c>
    </row>
    <row r="3363" spans="1:3" x14ac:dyDescent="0.35">
      <c r="A3363" t="s">
        <v>68</v>
      </c>
      <c r="B3363">
        <v>1993</v>
      </c>
      <c r="C3363">
        <v>316719.44374742341</v>
      </c>
    </row>
    <row r="3364" spans="1:3" x14ac:dyDescent="0.35">
      <c r="A3364" t="s">
        <v>68</v>
      </c>
      <c r="B3364">
        <v>1994</v>
      </c>
      <c r="C3364">
        <v>308084</v>
      </c>
    </row>
    <row r="3365" spans="1:3" x14ac:dyDescent="0.35">
      <c r="A3365" t="s">
        <v>68</v>
      </c>
      <c r="B3365">
        <v>1995</v>
      </c>
      <c r="C3365">
        <v>295853.09772466141</v>
      </c>
    </row>
    <row r="3366" spans="1:3" x14ac:dyDescent="0.35">
      <c r="A3366" t="s">
        <v>68</v>
      </c>
      <c r="B3366">
        <v>1996</v>
      </c>
      <c r="C3366">
        <v>287960.66867893969</v>
      </c>
    </row>
    <row r="3367" spans="1:3" x14ac:dyDescent="0.35">
      <c r="A3367" t="s">
        <v>68</v>
      </c>
      <c r="B3367">
        <v>1997</v>
      </c>
      <c r="C3367">
        <v>293167.82579097111</v>
      </c>
    </row>
    <row r="3368" spans="1:3" x14ac:dyDescent="0.35">
      <c r="A3368" t="s">
        <v>68</v>
      </c>
      <c r="B3368">
        <v>1998</v>
      </c>
      <c r="C3368">
        <v>290996.05508837773</v>
      </c>
    </row>
    <row r="3369" spans="1:3" x14ac:dyDescent="0.35">
      <c r="A3369" t="s">
        <v>68</v>
      </c>
      <c r="B3369">
        <v>1999</v>
      </c>
      <c r="C3369">
        <v>298094.89132240432</v>
      </c>
    </row>
    <row r="3370" spans="1:3" x14ac:dyDescent="0.35">
      <c r="A3370" t="s">
        <v>68</v>
      </c>
      <c r="B3370">
        <v>2000</v>
      </c>
      <c r="C3370">
        <v>320086.32421119558</v>
      </c>
    </row>
    <row r="3371" spans="1:3" x14ac:dyDescent="0.35">
      <c r="A3371" t="s">
        <v>68</v>
      </c>
      <c r="B3371">
        <v>2001</v>
      </c>
      <c r="C3371">
        <v>331805.61057213676</v>
      </c>
    </row>
    <row r="3372" spans="1:3" x14ac:dyDescent="0.35">
      <c r="A3372" t="s">
        <v>68</v>
      </c>
      <c r="B3372">
        <v>2002</v>
      </c>
      <c r="C3372">
        <v>378463.1387538414</v>
      </c>
    </row>
    <row r="3373" spans="1:3" x14ac:dyDescent="0.35">
      <c r="A3373" t="s">
        <v>68</v>
      </c>
      <c r="B3373">
        <v>2003</v>
      </c>
      <c r="C3373">
        <v>440532.06958619168</v>
      </c>
    </row>
    <row r="3374" spans="1:3" x14ac:dyDescent="0.35">
      <c r="A3374" t="s">
        <v>68</v>
      </c>
      <c r="B3374">
        <v>2004</v>
      </c>
      <c r="C3374">
        <v>492999.37615939672</v>
      </c>
    </row>
    <row r="3375" spans="1:3" x14ac:dyDescent="0.35">
      <c r="A3375" t="s">
        <v>68</v>
      </c>
      <c r="B3375">
        <v>2005</v>
      </c>
      <c r="C3375">
        <v>533203</v>
      </c>
    </row>
    <row r="3376" spans="1:3" x14ac:dyDescent="0.35">
      <c r="A3376" t="s">
        <v>68</v>
      </c>
      <c r="B3376">
        <v>2006</v>
      </c>
      <c r="C3376">
        <v>558335</v>
      </c>
    </row>
    <row r="3377" spans="1:3" x14ac:dyDescent="0.35">
      <c r="A3377" t="s">
        <v>68</v>
      </c>
      <c r="B3377">
        <v>2007</v>
      </c>
      <c r="C3377">
        <v>589586</v>
      </c>
    </row>
    <row r="3378" spans="1:3" x14ac:dyDescent="0.35">
      <c r="A3378" t="s">
        <v>68</v>
      </c>
      <c r="B3378">
        <v>2008</v>
      </c>
      <c r="C3378">
        <v>656756</v>
      </c>
    </row>
    <row r="3379" spans="1:3" x14ac:dyDescent="0.35">
      <c r="A3379" t="s">
        <v>68</v>
      </c>
      <c r="B3379">
        <v>2009</v>
      </c>
      <c r="C3379">
        <v>705917</v>
      </c>
    </row>
    <row r="3380" spans="1:3" x14ac:dyDescent="0.35">
      <c r="A3380" t="s">
        <v>68</v>
      </c>
      <c r="B3380">
        <v>2010</v>
      </c>
      <c r="C3380">
        <v>738005</v>
      </c>
    </row>
    <row r="3381" spans="1:3" x14ac:dyDescent="0.35">
      <c r="A3381" t="s">
        <v>68</v>
      </c>
      <c r="B3381">
        <v>2011</v>
      </c>
      <c r="C3381">
        <v>752288</v>
      </c>
    </row>
    <row r="3382" spans="1:3" x14ac:dyDescent="0.35">
      <c r="A3382" t="s">
        <v>68</v>
      </c>
      <c r="B3382">
        <v>2012</v>
      </c>
      <c r="C3382">
        <v>725205</v>
      </c>
    </row>
    <row r="3383" spans="1:3" x14ac:dyDescent="0.35">
      <c r="A3383" t="s">
        <v>68</v>
      </c>
      <c r="B3383">
        <v>2013</v>
      </c>
      <c r="C3383">
        <v>679229</v>
      </c>
    </row>
    <row r="3384" spans="1:3" x14ac:dyDescent="0.35">
      <c r="A3384" t="s">
        <v>68</v>
      </c>
      <c r="B3384">
        <v>2014</v>
      </c>
      <c r="C3384">
        <v>647789</v>
      </c>
    </row>
    <row r="3385" spans="1:3" x14ac:dyDescent="0.35">
      <c r="A3385" t="s">
        <v>68</v>
      </c>
      <c r="B3385">
        <v>2015</v>
      </c>
      <c r="C3385">
        <v>633829.63899999997</v>
      </c>
    </row>
    <row r="3386" spans="1:3" x14ac:dyDescent="0.35">
      <c r="A3386" t="s">
        <v>68</v>
      </c>
      <c r="B3386">
        <v>2016</v>
      </c>
      <c r="C3386">
        <v>639856.44299999997</v>
      </c>
    </row>
    <row r="3387" spans="1:3" x14ac:dyDescent="0.35">
      <c r="A3387" t="s">
        <v>68</v>
      </c>
      <c r="B3387">
        <v>2017</v>
      </c>
      <c r="C3387">
        <v>646752.92700000003</v>
      </c>
    </row>
    <row r="3388" spans="1:3" x14ac:dyDescent="0.35">
      <c r="A3388" t="s">
        <v>68</v>
      </c>
      <c r="B3388">
        <v>2018</v>
      </c>
      <c r="C3388">
        <v>682491.4</v>
      </c>
    </row>
    <row r="3389" spans="1:3" x14ac:dyDescent="0.35">
      <c r="A3389" t="s">
        <v>68</v>
      </c>
      <c r="B3389">
        <v>2019</v>
      </c>
      <c r="C3389">
        <v>734344.1</v>
      </c>
    </row>
    <row r="3390" spans="1:3" x14ac:dyDescent="0.35">
      <c r="A3390" t="s">
        <v>68</v>
      </c>
      <c r="B3390">
        <v>2020</v>
      </c>
      <c r="C3390">
        <v>778397.2</v>
      </c>
    </row>
    <row r="3391" spans="1:3" x14ac:dyDescent="0.35">
      <c r="A3391" t="s">
        <v>68</v>
      </c>
      <c r="B3391">
        <v>2021</v>
      </c>
      <c r="C3391">
        <v>806230.2</v>
      </c>
    </row>
    <row r="3392" spans="1:3" x14ac:dyDescent="0.35">
      <c r="A3392" t="s">
        <v>68</v>
      </c>
      <c r="B3392">
        <v>2022</v>
      </c>
      <c r="C3392">
        <v>860692.2</v>
      </c>
    </row>
    <row r="3393" spans="1:3" x14ac:dyDescent="0.35">
      <c r="A3393" t="s">
        <v>68</v>
      </c>
      <c r="B3393">
        <v>2023</v>
      </c>
      <c r="C3393">
        <v>916014.7</v>
      </c>
    </row>
    <row r="3394" spans="1:3" x14ac:dyDescent="0.35">
      <c r="A3394" t="s">
        <v>68</v>
      </c>
      <c r="B3394">
        <v>2024</v>
      </c>
      <c r="C3394">
        <v>1004901</v>
      </c>
    </row>
    <row r="3395" spans="1:3" x14ac:dyDescent="0.35">
      <c r="A3395" t="s">
        <v>68</v>
      </c>
      <c r="B3395">
        <v>2025</v>
      </c>
      <c r="C3395">
        <v>954387</v>
      </c>
    </row>
    <row r="3396" spans="1:3" x14ac:dyDescent="0.35">
      <c r="A3396" t="s">
        <v>69</v>
      </c>
      <c r="B3396">
        <v>1962</v>
      </c>
      <c r="C3396">
        <v>305.16240720366841</v>
      </c>
    </row>
    <row r="3397" spans="1:3" x14ac:dyDescent="0.35">
      <c r="A3397" t="s">
        <v>69</v>
      </c>
      <c r="B3397">
        <v>1963</v>
      </c>
      <c r="C3397">
        <v>242.21977118882327</v>
      </c>
    </row>
    <row r="3398" spans="1:3" x14ac:dyDescent="0.35">
      <c r="A3398" t="s">
        <v>69</v>
      </c>
      <c r="B3398">
        <v>1964</v>
      </c>
      <c r="C3398">
        <v>245.74049803407604</v>
      </c>
    </row>
    <row r="3399" spans="1:3" x14ac:dyDescent="0.35">
      <c r="A3399" t="s">
        <v>69</v>
      </c>
      <c r="B3399">
        <v>1965</v>
      </c>
      <c r="C3399">
        <v>252.40760289443111</v>
      </c>
    </row>
    <row r="3400" spans="1:3" x14ac:dyDescent="0.35">
      <c r="A3400" t="s">
        <v>69</v>
      </c>
      <c r="B3400">
        <v>1966</v>
      </c>
      <c r="C3400">
        <v>279.22543628974427</v>
      </c>
    </row>
    <row r="3401" spans="1:3" x14ac:dyDescent="0.35">
      <c r="A3401" t="s">
        <v>69</v>
      </c>
      <c r="B3401">
        <v>1967</v>
      </c>
      <c r="C3401">
        <v>251.9307190522606</v>
      </c>
    </row>
    <row r="3402" spans="1:3" x14ac:dyDescent="0.35">
      <c r="A3402" t="s">
        <v>69</v>
      </c>
      <c r="B3402">
        <v>1968</v>
      </c>
      <c r="C3402">
        <v>337.14285714285711</v>
      </c>
    </row>
    <row r="3403" spans="1:3" x14ac:dyDescent="0.35">
      <c r="A3403" t="s">
        <v>69</v>
      </c>
      <c r="B3403">
        <v>1969</v>
      </c>
      <c r="C3403">
        <v>442.85714285714283</v>
      </c>
    </row>
    <row r="3404" spans="1:3" x14ac:dyDescent="0.35">
      <c r="A3404" t="s">
        <v>69</v>
      </c>
      <c r="B3404">
        <v>1970</v>
      </c>
      <c r="C3404">
        <v>445.71389387789549</v>
      </c>
    </row>
    <row r="3405" spans="1:3" x14ac:dyDescent="0.35">
      <c r="A3405" t="s">
        <v>69</v>
      </c>
      <c r="B3405">
        <v>1971</v>
      </c>
      <c r="C3405">
        <v>519.71948417288309</v>
      </c>
    </row>
    <row r="3406" spans="1:3" x14ac:dyDescent="0.35">
      <c r="A3406" t="s">
        <v>69</v>
      </c>
      <c r="B3406">
        <v>1972</v>
      </c>
      <c r="C3406">
        <v>766</v>
      </c>
    </row>
    <row r="3407" spans="1:3" x14ac:dyDescent="0.35">
      <c r="A3407" t="s">
        <v>69</v>
      </c>
      <c r="B3407">
        <v>1973</v>
      </c>
      <c r="C3407">
        <v>1293.9999999999998</v>
      </c>
    </row>
    <row r="3408" spans="1:3" x14ac:dyDescent="0.35">
      <c r="A3408" t="s">
        <v>69</v>
      </c>
      <c r="B3408">
        <v>1974</v>
      </c>
      <c r="C3408">
        <v>1626</v>
      </c>
    </row>
    <row r="3409" spans="1:3" x14ac:dyDescent="0.35">
      <c r="A3409" t="s">
        <v>69</v>
      </c>
      <c r="B3409">
        <v>1975</v>
      </c>
      <c r="C3409">
        <v>798.35953520164037</v>
      </c>
    </row>
    <row r="3410" spans="1:3" x14ac:dyDescent="0.35">
      <c r="A3410" t="s">
        <v>69</v>
      </c>
      <c r="B3410">
        <v>1976</v>
      </c>
      <c r="C3410">
        <v>2050.2489588021404</v>
      </c>
    </row>
    <row r="3411" spans="1:3" x14ac:dyDescent="0.35">
      <c r="A3411" t="s">
        <v>69</v>
      </c>
      <c r="B3411">
        <v>1977</v>
      </c>
      <c r="C3411">
        <v>2058.2239416337738</v>
      </c>
    </row>
    <row r="3412" spans="1:3" x14ac:dyDescent="0.35">
      <c r="A3412" t="s">
        <v>69</v>
      </c>
      <c r="B3412">
        <v>1978</v>
      </c>
      <c r="C3412">
        <v>3103.9899465912658</v>
      </c>
    </row>
    <row r="3413" spans="1:3" x14ac:dyDescent="0.35">
      <c r="A3413" t="s">
        <v>69</v>
      </c>
      <c r="B3413">
        <v>1979</v>
      </c>
      <c r="C3413">
        <v>5057.0628032529212</v>
      </c>
    </row>
    <row r="3414" spans="1:3" x14ac:dyDescent="0.35">
      <c r="A3414" t="s">
        <v>69</v>
      </c>
      <c r="B3414">
        <v>1980</v>
      </c>
      <c r="C3414">
        <v>6477.3890134773246</v>
      </c>
    </row>
    <row r="3415" spans="1:3" x14ac:dyDescent="0.35">
      <c r="A3415" t="s">
        <v>69</v>
      </c>
      <c r="B3415">
        <v>1981</v>
      </c>
      <c r="C3415">
        <v>5882.7671264613218</v>
      </c>
    </row>
    <row r="3416" spans="1:3" x14ac:dyDescent="0.35">
      <c r="A3416" t="s">
        <v>69</v>
      </c>
      <c r="B3416">
        <v>1982</v>
      </c>
      <c r="C3416">
        <v>2279.8726974635933</v>
      </c>
    </row>
    <row r="3417" spans="1:3" x14ac:dyDescent="0.35">
      <c r="A3417" t="s">
        <v>69</v>
      </c>
      <c r="B3417">
        <v>1983</v>
      </c>
      <c r="C3417">
        <v>2848.053181386515</v>
      </c>
    </row>
    <row r="3418" spans="1:3" x14ac:dyDescent="0.35">
      <c r="A3418" t="s">
        <v>69</v>
      </c>
      <c r="B3418">
        <v>1984</v>
      </c>
      <c r="C3418">
        <v>2527.7498148534128</v>
      </c>
    </row>
    <row r="3419" spans="1:3" x14ac:dyDescent="0.35">
      <c r="A3419" t="s">
        <v>69</v>
      </c>
      <c r="B3419">
        <v>1985</v>
      </c>
      <c r="C3419">
        <v>2027.2212612307226</v>
      </c>
    </row>
    <row r="3420" spans="1:3" x14ac:dyDescent="0.35">
      <c r="A3420" t="s">
        <v>69</v>
      </c>
      <c r="B3420">
        <v>1986</v>
      </c>
      <c r="C3420">
        <v>2449.545720611814</v>
      </c>
    </row>
    <row r="3421" spans="1:3" x14ac:dyDescent="0.35">
      <c r="A3421" t="s">
        <v>69</v>
      </c>
      <c r="B3421">
        <v>1987</v>
      </c>
      <c r="C3421">
        <v>2485.6596558317401</v>
      </c>
    </row>
    <row r="3422" spans="1:3" x14ac:dyDescent="0.35">
      <c r="A3422" t="s">
        <v>69</v>
      </c>
      <c r="B3422">
        <v>1988</v>
      </c>
      <c r="C3422">
        <v>2696.3416584786232</v>
      </c>
    </row>
    <row r="3423" spans="1:3" x14ac:dyDescent="0.35">
      <c r="A3423" t="s">
        <v>69</v>
      </c>
      <c r="B3423">
        <v>1989</v>
      </c>
      <c r="C3423">
        <v>1440.9221902017293</v>
      </c>
    </row>
    <row r="3424" spans="1:3" x14ac:dyDescent="0.35">
      <c r="A3424" t="s">
        <v>69</v>
      </c>
      <c r="B3424">
        <v>1990</v>
      </c>
      <c r="C3424">
        <v>2050.9076291712895</v>
      </c>
    </row>
    <row r="3425" spans="1:3" x14ac:dyDescent="0.35">
      <c r="A3425" t="s">
        <v>69</v>
      </c>
      <c r="B3425">
        <v>1991</v>
      </c>
      <c r="C3425">
        <v>2858.7788421001856</v>
      </c>
    </row>
    <row r="3426" spans="1:3" x14ac:dyDescent="0.35">
      <c r="A3426" t="s">
        <v>69</v>
      </c>
      <c r="B3426">
        <v>1992</v>
      </c>
      <c r="C3426">
        <v>3254.4551916837768</v>
      </c>
    </row>
    <row r="3427" spans="1:3" x14ac:dyDescent="0.35">
      <c r="A3427" t="s">
        <v>69</v>
      </c>
      <c r="B3427">
        <v>1993</v>
      </c>
      <c r="C3427">
        <v>3368.5504521765943</v>
      </c>
    </row>
    <row r="3428" spans="1:3" x14ac:dyDescent="0.35">
      <c r="A3428" t="s">
        <v>69</v>
      </c>
      <c r="B3428">
        <v>1994</v>
      </c>
      <c r="C3428">
        <v>3754.7246868893944</v>
      </c>
    </row>
    <row r="3429" spans="1:3" x14ac:dyDescent="0.35">
      <c r="A3429" t="s">
        <v>69</v>
      </c>
      <c r="B3429">
        <v>1995</v>
      </c>
      <c r="C3429">
        <v>3801.9504876219053</v>
      </c>
    </row>
    <row r="3430" spans="1:3" x14ac:dyDescent="0.35">
      <c r="A3430" t="s">
        <v>69</v>
      </c>
      <c r="B3430">
        <v>1996</v>
      </c>
      <c r="C3430">
        <v>3379.1387697654109</v>
      </c>
    </row>
    <row r="3431" spans="1:3" x14ac:dyDescent="0.35">
      <c r="A3431" t="s">
        <v>69</v>
      </c>
      <c r="B3431">
        <v>1997</v>
      </c>
      <c r="C3431">
        <v>3340.6703351675833</v>
      </c>
    </row>
    <row r="3432" spans="1:3" x14ac:dyDescent="0.35">
      <c r="A3432" t="s">
        <v>69</v>
      </c>
      <c r="B3432">
        <v>1998</v>
      </c>
      <c r="C3432">
        <v>3398.6993496748373</v>
      </c>
    </row>
    <row r="3433" spans="1:3" x14ac:dyDescent="0.35">
      <c r="A3433" t="s">
        <v>69</v>
      </c>
      <c r="B3433">
        <v>1999</v>
      </c>
      <c r="C3433">
        <v>3461.7308654327162</v>
      </c>
    </row>
    <row r="3434" spans="1:3" x14ac:dyDescent="0.35">
      <c r="A3434" t="s">
        <v>69</v>
      </c>
      <c r="B3434">
        <v>2000</v>
      </c>
      <c r="C3434">
        <v>3266.633316658329</v>
      </c>
    </row>
    <row r="3435" spans="1:3" x14ac:dyDescent="0.35">
      <c r="A3435" t="s">
        <v>69</v>
      </c>
      <c r="B3435">
        <v>2001</v>
      </c>
      <c r="C3435">
        <v>3183.5917958979489</v>
      </c>
    </row>
    <row r="3436" spans="1:3" x14ac:dyDescent="0.35">
      <c r="A3436" t="s">
        <v>69</v>
      </c>
      <c r="B3436">
        <v>2002</v>
      </c>
      <c r="C3436">
        <v>1114.1724829103634</v>
      </c>
    </row>
    <row r="3437" spans="1:3" x14ac:dyDescent="0.35">
      <c r="A3437" t="s">
        <v>69</v>
      </c>
      <c r="B3437">
        <v>2003</v>
      </c>
      <c r="C3437">
        <v>1374.8737343266807</v>
      </c>
    </row>
    <row r="3438" spans="1:3" x14ac:dyDescent="0.35">
      <c r="A3438" t="s">
        <v>69</v>
      </c>
      <c r="B3438">
        <v>2004</v>
      </c>
      <c r="C3438">
        <v>1465.8091882461604</v>
      </c>
    </row>
    <row r="3439" spans="1:3" x14ac:dyDescent="0.35">
      <c r="A3439" t="s">
        <v>69</v>
      </c>
      <c r="B3439">
        <v>2005</v>
      </c>
      <c r="C3439">
        <v>1699.579151829071</v>
      </c>
    </row>
    <row r="3440" spans="1:3" x14ac:dyDescent="0.35">
      <c r="A3440" t="s">
        <v>69</v>
      </c>
      <c r="B3440">
        <v>2006</v>
      </c>
      <c r="C3440">
        <v>1847.5531298394728</v>
      </c>
    </row>
    <row r="3441" spans="1:3" x14ac:dyDescent="0.35">
      <c r="A3441" t="s">
        <v>69</v>
      </c>
      <c r="B3441">
        <v>2007</v>
      </c>
      <c r="C3441">
        <v>2296.4482418878101</v>
      </c>
    </row>
    <row r="3442" spans="1:3" x14ac:dyDescent="0.35">
      <c r="A3442" t="s">
        <v>69</v>
      </c>
      <c r="B3442">
        <v>2008</v>
      </c>
      <c r="C3442">
        <v>2788.980204569742</v>
      </c>
    </row>
    <row r="3443" spans="1:3" x14ac:dyDescent="0.35">
      <c r="A3443" t="s">
        <v>69</v>
      </c>
      <c r="B3443">
        <v>2009</v>
      </c>
      <c r="C3443">
        <v>2981.8522900938246</v>
      </c>
    </row>
    <row r="3444" spans="1:3" x14ac:dyDescent="0.35">
      <c r="A3444" t="s">
        <v>69</v>
      </c>
      <c r="B3444">
        <v>2010</v>
      </c>
      <c r="C3444">
        <v>3475.3484074634912</v>
      </c>
    </row>
    <row r="3445" spans="1:3" x14ac:dyDescent="0.35">
      <c r="A3445" t="s">
        <v>69</v>
      </c>
      <c r="B3445">
        <v>2011</v>
      </c>
      <c r="C3445">
        <v>4051.9301045706466</v>
      </c>
    </row>
    <row r="3446" spans="1:3" x14ac:dyDescent="0.35">
      <c r="A3446" t="s">
        <v>69</v>
      </c>
      <c r="B3446">
        <v>2012</v>
      </c>
      <c r="C3446">
        <v>4563.217858772342</v>
      </c>
    </row>
    <row r="3447" spans="1:3" x14ac:dyDescent="0.35">
      <c r="A3447" t="s">
        <v>69</v>
      </c>
      <c r="B3447">
        <v>2013</v>
      </c>
      <c r="C3447">
        <v>5137.9743009698959</v>
      </c>
    </row>
    <row r="3448" spans="1:3" x14ac:dyDescent="0.35">
      <c r="A3448" t="s">
        <v>69</v>
      </c>
      <c r="B3448">
        <v>2014</v>
      </c>
      <c r="C3448">
        <v>4979.4427244582048</v>
      </c>
    </row>
    <row r="3449" spans="1:3" x14ac:dyDescent="0.35">
      <c r="A3449" t="s">
        <v>69</v>
      </c>
      <c r="B3449">
        <v>2015</v>
      </c>
      <c r="C3449">
        <v>5482.616700963933</v>
      </c>
    </row>
    <row r="3450" spans="1:3" x14ac:dyDescent="0.35">
      <c r="A3450" t="s">
        <v>69</v>
      </c>
      <c r="B3450">
        <v>2016</v>
      </c>
      <c r="C3450">
        <v>4509.6476600523411</v>
      </c>
    </row>
    <row r="3451" spans="1:3" x14ac:dyDescent="0.35">
      <c r="A3451" t="s">
        <v>69</v>
      </c>
      <c r="B3451">
        <v>2017</v>
      </c>
      <c r="C3451">
        <v>5459.6436724540135</v>
      </c>
    </row>
    <row r="3452" spans="1:3" x14ac:dyDescent="0.35">
      <c r="A3452" t="s">
        <v>69</v>
      </c>
      <c r="B3452">
        <v>2018</v>
      </c>
      <c r="C3452">
        <v>3842.8523653176017</v>
      </c>
    </row>
    <row r="3453" spans="1:3" x14ac:dyDescent="0.35">
      <c r="A3453" t="s">
        <v>69</v>
      </c>
      <c r="B3453">
        <v>2019</v>
      </c>
      <c r="C3453">
        <v>3132.6549260674528</v>
      </c>
    </row>
    <row r="3454" spans="1:3" x14ac:dyDescent="0.35">
      <c r="A3454" t="s">
        <v>69</v>
      </c>
      <c r="B3454">
        <v>2020</v>
      </c>
      <c r="C3454">
        <v>2830.9297052154193</v>
      </c>
    </row>
    <row r="3455" spans="1:3" x14ac:dyDescent="0.35">
      <c r="A3455" t="s">
        <v>69</v>
      </c>
      <c r="B3455">
        <v>2021</v>
      </c>
      <c r="C3455">
        <v>3073.4333228081255</v>
      </c>
    </row>
    <row r="3456" spans="1:3" x14ac:dyDescent="0.35">
      <c r="A3456" t="s">
        <v>69</v>
      </c>
      <c r="B3456">
        <v>2022</v>
      </c>
      <c r="C3456">
        <v>4338.2613103087169</v>
      </c>
    </row>
    <row r="3457" spans="1:3" x14ac:dyDescent="0.35">
      <c r="A3457" t="s">
        <v>69</v>
      </c>
      <c r="B3457">
        <v>2023</v>
      </c>
      <c r="C3457">
        <v>4882.3529989997678</v>
      </c>
    </row>
    <row r="3458" spans="1:3" x14ac:dyDescent="0.35">
      <c r="A3458" t="s">
        <v>69</v>
      </c>
      <c r="B3458">
        <v>2024</v>
      </c>
      <c r="C3458">
        <v>4179.8386569900049</v>
      </c>
    </row>
    <row r="3459" spans="1:3" x14ac:dyDescent="0.35">
      <c r="A3459" t="s">
        <v>69</v>
      </c>
      <c r="B3459">
        <v>2025</v>
      </c>
      <c r="C3459">
        <v>3875.7500723542462</v>
      </c>
    </row>
    <row r="3460" spans="1:3" x14ac:dyDescent="0.35">
      <c r="A3460" t="s">
        <v>70</v>
      </c>
      <c r="B3460">
        <v>1953</v>
      </c>
      <c r="C3460">
        <v>9.0793666455786628</v>
      </c>
    </row>
    <row r="3461" spans="1:3" x14ac:dyDescent="0.35">
      <c r="A3461" t="s">
        <v>70</v>
      </c>
      <c r="B3461">
        <v>1955</v>
      </c>
      <c r="C3461">
        <v>25.033860635497234</v>
      </c>
    </row>
    <row r="3462" spans="1:3" x14ac:dyDescent="0.35">
      <c r="A3462" t="s">
        <v>70</v>
      </c>
      <c r="B3462">
        <v>1956</v>
      </c>
      <c r="C3462">
        <v>1.2644347685309179</v>
      </c>
    </row>
    <row r="3463" spans="1:3" x14ac:dyDescent="0.35">
      <c r="A3463" t="s">
        <v>70</v>
      </c>
      <c r="B3463">
        <v>1957</v>
      </c>
      <c r="C3463">
        <v>2.9088700776937375</v>
      </c>
    </row>
    <row r="3464" spans="1:3" x14ac:dyDescent="0.35">
      <c r="A3464" t="s">
        <v>70</v>
      </c>
      <c r="B3464">
        <v>1961</v>
      </c>
      <c r="C3464">
        <v>4.9354179640530935</v>
      </c>
    </row>
    <row r="3465" spans="1:3" x14ac:dyDescent="0.35">
      <c r="A3465" t="s">
        <v>70</v>
      </c>
      <c r="B3465">
        <v>1962</v>
      </c>
      <c r="C3465">
        <v>5.1956185710014706</v>
      </c>
    </row>
    <row r="3466" spans="1:3" x14ac:dyDescent="0.35">
      <c r="A3466" t="s">
        <v>70</v>
      </c>
      <c r="B3466">
        <v>1963</v>
      </c>
      <c r="C3466">
        <v>6.404292358116515</v>
      </c>
    </row>
    <row r="3467" spans="1:3" x14ac:dyDescent="0.35">
      <c r="A3467" t="s">
        <v>70</v>
      </c>
      <c r="B3467">
        <v>1968</v>
      </c>
      <c r="C3467">
        <v>11.583123793185832</v>
      </c>
    </row>
    <row r="3468" spans="1:3" x14ac:dyDescent="0.35">
      <c r="A3468" t="s">
        <v>70</v>
      </c>
      <c r="B3468">
        <v>1969</v>
      </c>
      <c r="C3468">
        <v>12.254609230471969</v>
      </c>
    </row>
    <row r="3469" spans="1:3" x14ac:dyDescent="0.35">
      <c r="A3469" t="s">
        <v>70</v>
      </c>
      <c r="B3469">
        <v>1970</v>
      </c>
      <c r="C3469">
        <v>16.787135932153383</v>
      </c>
    </row>
    <row r="3470" spans="1:3" x14ac:dyDescent="0.35">
      <c r="A3470" t="s">
        <v>70</v>
      </c>
      <c r="B3470">
        <v>1971</v>
      </c>
      <c r="C3470">
        <v>15.863843455884947</v>
      </c>
    </row>
    <row r="3471" spans="1:3" x14ac:dyDescent="0.35">
      <c r="A3471" t="s">
        <v>70</v>
      </c>
      <c r="B3471">
        <v>1972</v>
      </c>
      <c r="C3471">
        <v>20.700640942165883</v>
      </c>
    </row>
    <row r="3472" spans="1:3" x14ac:dyDescent="0.35">
      <c r="A3472" t="s">
        <v>70</v>
      </c>
      <c r="B3472">
        <v>1973</v>
      </c>
      <c r="C3472">
        <v>21.129139966658784</v>
      </c>
    </row>
    <row r="3473" spans="1:3" x14ac:dyDescent="0.35">
      <c r="A3473" t="s">
        <v>70</v>
      </c>
      <c r="B3473">
        <v>1974</v>
      </c>
      <c r="C3473">
        <v>39.766636069324782</v>
      </c>
    </row>
    <row r="3474" spans="1:3" x14ac:dyDescent="0.35">
      <c r="A3474" t="s">
        <v>70</v>
      </c>
      <c r="B3474">
        <v>1975</v>
      </c>
      <c r="C3474">
        <v>58.304466417431073</v>
      </c>
    </row>
    <row r="3475" spans="1:3" x14ac:dyDescent="0.35">
      <c r="A3475" t="s">
        <v>70</v>
      </c>
      <c r="B3475">
        <v>1976</v>
      </c>
      <c r="C3475">
        <v>66.776055555006536</v>
      </c>
    </row>
    <row r="3476" spans="1:3" x14ac:dyDescent="0.35">
      <c r="A3476" t="s">
        <v>70</v>
      </c>
      <c r="B3476">
        <v>1977</v>
      </c>
      <c r="C3476">
        <v>73.254329601387752</v>
      </c>
    </row>
    <row r="3477" spans="1:3" x14ac:dyDescent="0.35">
      <c r="A3477" t="s">
        <v>70</v>
      </c>
      <c r="B3477">
        <v>1978</v>
      </c>
      <c r="C3477">
        <v>97.672439468517013</v>
      </c>
    </row>
    <row r="3478" spans="1:3" x14ac:dyDescent="0.35">
      <c r="A3478" t="s">
        <v>70</v>
      </c>
      <c r="B3478">
        <v>1979</v>
      </c>
      <c r="C3478">
        <v>119.73709606810081</v>
      </c>
    </row>
    <row r="3479" spans="1:3" x14ac:dyDescent="0.35">
      <c r="A3479" t="s">
        <v>70</v>
      </c>
      <c r="B3479">
        <v>1980</v>
      </c>
      <c r="C3479">
        <v>159.00813494234714</v>
      </c>
    </row>
    <row r="3480" spans="1:3" x14ac:dyDescent="0.35">
      <c r="A3480" t="s">
        <v>70</v>
      </c>
      <c r="B3480">
        <v>1981</v>
      </c>
      <c r="C3480">
        <v>238.71553762444444</v>
      </c>
    </row>
    <row r="3481" spans="1:3" x14ac:dyDescent="0.35">
      <c r="A3481" t="s">
        <v>70</v>
      </c>
      <c r="B3481">
        <v>1982</v>
      </c>
      <c r="C3481">
        <v>123.72684353998399</v>
      </c>
    </row>
    <row r="3482" spans="1:3" x14ac:dyDescent="0.35">
      <c r="A3482" t="s">
        <v>70</v>
      </c>
      <c r="B3482">
        <v>1983</v>
      </c>
      <c r="C3482">
        <v>89.97348259867519</v>
      </c>
    </row>
    <row r="3483" spans="1:3" x14ac:dyDescent="0.35">
      <c r="A3483" t="s">
        <v>70</v>
      </c>
      <c r="B3483">
        <v>1984</v>
      </c>
      <c r="C3483">
        <v>144.68078574905195</v>
      </c>
    </row>
    <row r="3484" spans="1:3" x14ac:dyDescent="0.35">
      <c r="A3484" t="s">
        <v>70</v>
      </c>
      <c r="B3484">
        <v>1985</v>
      </c>
      <c r="C3484">
        <v>131.20800021366281</v>
      </c>
    </row>
    <row r="3485" spans="1:3" x14ac:dyDescent="0.35">
      <c r="A3485" t="s">
        <v>70</v>
      </c>
      <c r="B3485">
        <v>1986</v>
      </c>
      <c r="C3485">
        <v>92.869207221905782</v>
      </c>
    </row>
    <row r="3486" spans="1:3" x14ac:dyDescent="0.35">
      <c r="A3486" t="s">
        <v>70</v>
      </c>
      <c r="B3486">
        <v>1987</v>
      </c>
      <c r="C3486">
        <v>103.36238715273183</v>
      </c>
    </row>
    <row r="3487" spans="1:3" x14ac:dyDescent="0.35">
      <c r="A3487" t="s">
        <v>70</v>
      </c>
      <c r="B3487">
        <v>1988</v>
      </c>
      <c r="C3487">
        <v>92.916951667493748</v>
      </c>
    </row>
    <row r="3488" spans="1:3" x14ac:dyDescent="0.35">
      <c r="A3488" t="s">
        <v>70</v>
      </c>
      <c r="B3488">
        <v>1989</v>
      </c>
      <c r="C3488">
        <v>101.69087243451692</v>
      </c>
    </row>
    <row r="3489" spans="1:3" x14ac:dyDescent="0.35">
      <c r="A3489" t="s">
        <v>70</v>
      </c>
      <c r="B3489">
        <v>1990</v>
      </c>
      <c r="C3489">
        <v>137.06512751571026</v>
      </c>
    </row>
    <row r="3490" spans="1:3" x14ac:dyDescent="0.35">
      <c r="A3490" t="s">
        <v>70</v>
      </c>
      <c r="B3490">
        <v>1991</v>
      </c>
      <c r="C3490">
        <v>143.64396010735598</v>
      </c>
    </row>
    <row r="3491" spans="1:3" x14ac:dyDescent="0.35">
      <c r="A3491" t="s">
        <v>70</v>
      </c>
      <c r="B3491">
        <v>1992</v>
      </c>
      <c r="C3491">
        <v>141.44191030939461</v>
      </c>
    </row>
    <row r="3492" spans="1:3" x14ac:dyDescent="0.35">
      <c r="A3492" t="s">
        <v>70</v>
      </c>
      <c r="B3492">
        <v>1993</v>
      </c>
      <c r="C3492">
        <v>109.8971179907528</v>
      </c>
    </row>
    <row r="3493" spans="1:3" x14ac:dyDescent="0.35">
      <c r="A3493" t="s">
        <v>70</v>
      </c>
      <c r="B3493">
        <v>1994</v>
      </c>
      <c r="C3493">
        <v>134.59524036255664</v>
      </c>
    </row>
    <row r="3494" spans="1:3" x14ac:dyDescent="0.35">
      <c r="A3494" t="s">
        <v>70</v>
      </c>
      <c r="B3494">
        <v>1995</v>
      </c>
      <c r="C3494">
        <v>140.76086277222026</v>
      </c>
    </row>
    <row r="3495" spans="1:3" x14ac:dyDescent="0.35">
      <c r="A3495" t="s">
        <v>70</v>
      </c>
      <c r="B3495">
        <v>1996</v>
      </c>
      <c r="C3495">
        <v>146.96301784767695</v>
      </c>
    </row>
    <row r="3496" spans="1:3" x14ac:dyDescent="0.35">
      <c r="A3496" t="s">
        <v>70</v>
      </c>
      <c r="B3496">
        <v>1997</v>
      </c>
      <c r="C3496">
        <v>180.20044687548767</v>
      </c>
    </row>
    <row r="3497" spans="1:3" x14ac:dyDescent="0.35">
      <c r="A3497" t="s">
        <v>70</v>
      </c>
      <c r="B3497">
        <v>1998</v>
      </c>
      <c r="C3497">
        <v>228.67700036115301</v>
      </c>
    </row>
    <row r="3498" spans="1:3" x14ac:dyDescent="0.35">
      <c r="A3498" t="s">
        <v>70</v>
      </c>
      <c r="B3498">
        <v>1999</v>
      </c>
      <c r="C3498">
        <v>176.74424206138247</v>
      </c>
    </row>
    <row r="3499" spans="1:3" x14ac:dyDescent="0.35">
      <c r="A3499" t="s">
        <v>70</v>
      </c>
      <c r="B3499">
        <v>2000</v>
      </c>
      <c r="C3499">
        <v>173.24542252496144</v>
      </c>
    </row>
    <row r="3500" spans="1:3" x14ac:dyDescent="0.35">
      <c r="A3500" t="s">
        <v>70</v>
      </c>
      <c r="B3500">
        <v>2001</v>
      </c>
      <c r="C3500">
        <v>188.91947855279011</v>
      </c>
    </row>
    <row r="3501" spans="1:3" x14ac:dyDescent="0.35">
      <c r="A3501" t="s">
        <v>70</v>
      </c>
      <c r="B3501">
        <v>2002</v>
      </c>
      <c r="C3501">
        <v>157.34553624686191</v>
      </c>
    </row>
    <row r="3502" spans="1:3" x14ac:dyDescent="0.35">
      <c r="A3502" t="s">
        <v>70</v>
      </c>
      <c r="B3502">
        <v>2003</v>
      </c>
      <c r="C3502">
        <v>173.40647453575255</v>
      </c>
    </row>
    <row r="3503" spans="1:3" x14ac:dyDescent="0.35">
      <c r="A3503" t="s">
        <v>70</v>
      </c>
      <c r="B3503">
        <v>2004</v>
      </c>
      <c r="C3503">
        <v>166.38314175172971</v>
      </c>
    </row>
    <row r="3504" spans="1:3" x14ac:dyDescent="0.35">
      <c r="A3504" t="s">
        <v>70</v>
      </c>
      <c r="B3504">
        <v>2005</v>
      </c>
      <c r="C3504">
        <v>163.95886622217037</v>
      </c>
    </row>
    <row r="3505" spans="1:3" x14ac:dyDescent="0.35">
      <c r="A3505" t="s">
        <v>70</v>
      </c>
      <c r="B3505">
        <v>2006</v>
      </c>
      <c r="C3505">
        <v>167.90998585429662</v>
      </c>
    </row>
    <row r="3506" spans="1:3" x14ac:dyDescent="0.35">
      <c r="A3506" t="s">
        <v>70</v>
      </c>
      <c r="B3506">
        <v>2007</v>
      </c>
      <c r="C3506">
        <v>195.36418093042508</v>
      </c>
    </row>
    <row r="3507" spans="1:3" x14ac:dyDescent="0.35">
      <c r="A3507" t="s">
        <v>70</v>
      </c>
      <c r="B3507">
        <v>2008</v>
      </c>
      <c r="C3507">
        <v>365.82631809038566</v>
      </c>
    </row>
    <row r="3508" spans="1:3" x14ac:dyDescent="0.35">
      <c r="A3508" t="s">
        <v>70</v>
      </c>
      <c r="B3508">
        <v>2009</v>
      </c>
      <c r="C3508">
        <v>305.420456957265</v>
      </c>
    </row>
    <row r="3509" spans="1:3" x14ac:dyDescent="0.35">
      <c r="A3509" t="s">
        <v>70</v>
      </c>
      <c r="B3509">
        <v>2010</v>
      </c>
      <c r="C3509">
        <v>547.246000161045</v>
      </c>
    </row>
    <row r="3510" spans="1:3" x14ac:dyDescent="0.35">
      <c r="A3510" t="s">
        <v>70</v>
      </c>
      <c r="B3510">
        <v>2011</v>
      </c>
      <c r="C3510">
        <v>403.56920236097659</v>
      </c>
    </row>
    <row r="3511" spans="1:3" x14ac:dyDescent="0.35">
      <c r="A3511" t="s">
        <v>70</v>
      </c>
      <c r="B3511">
        <v>2012</v>
      </c>
      <c r="C3511">
        <v>499.87322956729372</v>
      </c>
    </row>
    <row r="3512" spans="1:3" x14ac:dyDescent="0.35">
      <c r="A3512" t="s">
        <v>70</v>
      </c>
      <c r="B3512">
        <v>2013</v>
      </c>
      <c r="C3512">
        <v>564.51210757742388</v>
      </c>
    </row>
    <row r="3513" spans="1:3" x14ac:dyDescent="0.35">
      <c r="A3513" t="s">
        <v>70</v>
      </c>
      <c r="B3513">
        <v>2014</v>
      </c>
      <c r="C3513">
        <v>625.90965461360349</v>
      </c>
    </row>
    <row r="3514" spans="1:3" x14ac:dyDescent="0.35">
      <c r="A3514" t="s">
        <v>70</v>
      </c>
      <c r="B3514">
        <v>2015</v>
      </c>
      <c r="C3514">
        <v>580.61734015050649</v>
      </c>
    </row>
    <row r="3515" spans="1:3" x14ac:dyDescent="0.35">
      <c r="A3515" t="s">
        <v>70</v>
      </c>
      <c r="B3515">
        <v>2016</v>
      </c>
      <c r="C3515">
        <v>519.45802396816214</v>
      </c>
    </row>
    <row r="3516" spans="1:3" x14ac:dyDescent="0.35">
      <c r="A3516" t="s">
        <v>70</v>
      </c>
      <c r="B3516">
        <v>2017</v>
      </c>
      <c r="C3516">
        <v>576.29303786830678</v>
      </c>
    </row>
    <row r="3517" spans="1:3" x14ac:dyDescent="0.35">
      <c r="A3517" t="s">
        <v>70</v>
      </c>
      <c r="B3517">
        <v>2018</v>
      </c>
      <c r="C3517">
        <v>603.06685213314029</v>
      </c>
    </row>
    <row r="3518" spans="1:3" x14ac:dyDescent="0.35">
      <c r="A3518" t="s">
        <v>70</v>
      </c>
      <c r="B3518">
        <v>2019</v>
      </c>
      <c r="C3518">
        <v>593.50193100434149</v>
      </c>
    </row>
    <row r="3519" spans="1:3" x14ac:dyDescent="0.35">
      <c r="A3519" t="s">
        <v>70</v>
      </c>
      <c r="B3519">
        <v>2020</v>
      </c>
      <c r="C3519">
        <v>509.90480468162087</v>
      </c>
    </row>
    <row r="3520" spans="1:3" x14ac:dyDescent="0.35">
      <c r="A3520" t="s">
        <v>70</v>
      </c>
      <c r="B3520">
        <v>2021</v>
      </c>
      <c r="C3520">
        <v>535.70400157308245</v>
      </c>
    </row>
    <row r="3521" spans="1:3" x14ac:dyDescent="0.35">
      <c r="A3521" t="s">
        <v>70</v>
      </c>
      <c r="B3521">
        <v>2022</v>
      </c>
      <c r="C3521">
        <v>428.3110041128798</v>
      </c>
    </row>
    <row r="3522" spans="1:3" x14ac:dyDescent="0.35">
      <c r="A3522" t="s">
        <v>70</v>
      </c>
      <c r="B3522">
        <v>2023</v>
      </c>
      <c r="C3522">
        <v>588.70477568740966</v>
      </c>
    </row>
    <row r="3523" spans="1:3" x14ac:dyDescent="0.35">
      <c r="A3523" t="s">
        <v>70</v>
      </c>
      <c r="B3523">
        <v>2024</v>
      </c>
      <c r="C3523">
        <v>570.91172214182336</v>
      </c>
    </row>
    <row r="3524" spans="1:3" x14ac:dyDescent="0.35">
      <c r="A3524" t="s">
        <v>70</v>
      </c>
      <c r="B3524">
        <v>2025</v>
      </c>
      <c r="C3524">
        <v>688.30680173661358</v>
      </c>
    </row>
    <row r="3525" spans="1:3" x14ac:dyDescent="0.35">
      <c r="A3525" t="s">
        <v>71</v>
      </c>
      <c r="B3525">
        <v>1953</v>
      </c>
      <c r="C3525">
        <v>343.93069796436015</v>
      </c>
    </row>
    <row r="3526" spans="1:3" x14ac:dyDescent="0.35">
      <c r="A3526" t="s">
        <v>71</v>
      </c>
      <c r="B3526">
        <v>1957</v>
      </c>
      <c r="C3526">
        <v>605.44598664991611</v>
      </c>
    </row>
    <row r="3527" spans="1:3" x14ac:dyDescent="0.35">
      <c r="A3527" t="s">
        <v>71</v>
      </c>
      <c r="B3527">
        <v>1958</v>
      </c>
      <c r="C3527">
        <v>411.20332395312994</v>
      </c>
    </row>
    <row r="3528" spans="1:3" x14ac:dyDescent="0.35">
      <c r="A3528" t="s">
        <v>71</v>
      </c>
      <c r="B3528">
        <v>1959</v>
      </c>
      <c r="C3528">
        <v>383.00264884631946</v>
      </c>
    </row>
    <row r="3529" spans="1:3" x14ac:dyDescent="0.35">
      <c r="A3529" t="s">
        <v>71</v>
      </c>
      <c r="B3529">
        <v>1960</v>
      </c>
      <c r="C3529">
        <v>382.72975205285132</v>
      </c>
    </row>
    <row r="3530" spans="1:3" x14ac:dyDescent="0.35">
      <c r="A3530" t="s">
        <v>71</v>
      </c>
      <c r="B3530">
        <v>1961</v>
      </c>
      <c r="C3530">
        <v>342.33972082195771</v>
      </c>
    </row>
    <row r="3531" spans="1:3" x14ac:dyDescent="0.35">
      <c r="A3531" t="s">
        <v>71</v>
      </c>
      <c r="B3531">
        <v>1962</v>
      </c>
      <c r="C3531">
        <v>387.44903554993914</v>
      </c>
    </row>
    <row r="3532" spans="1:3" x14ac:dyDescent="0.35">
      <c r="A3532" t="s">
        <v>71</v>
      </c>
      <c r="B3532">
        <v>1963</v>
      </c>
      <c r="C3532">
        <v>441.99960621853262</v>
      </c>
    </row>
    <row r="3533" spans="1:3" x14ac:dyDescent="0.35">
      <c r="A3533" t="s">
        <v>71</v>
      </c>
      <c r="B3533">
        <v>1964</v>
      </c>
      <c r="C3533">
        <v>354.22785706905967</v>
      </c>
    </row>
    <row r="3534" spans="1:3" x14ac:dyDescent="0.35">
      <c r="A3534" t="s">
        <v>71</v>
      </c>
      <c r="B3534">
        <v>1965</v>
      </c>
      <c r="C3534">
        <v>632.86902653790207</v>
      </c>
    </row>
    <row r="3535" spans="1:3" x14ac:dyDescent="0.35">
      <c r="A3535" t="s">
        <v>71</v>
      </c>
      <c r="B3535">
        <v>1966</v>
      </c>
      <c r="C3535">
        <v>718.21657456493244</v>
      </c>
    </row>
    <row r="3536" spans="1:3" x14ac:dyDescent="0.35">
      <c r="A3536" t="s">
        <v>71</v>
      </c>
      <c r="B3536">
        <v>1967</v>
      </c>
      <c r="C3536">
        <v>746.13916363005376</v>
      </c>
    </row>
    <row r="3537" spans="1:3" x14ac:dyDescent="0.35">
      <c r="A3537" t="s">
        <v>71</v>
      </c>
      <c r="B3537">
        <v>1968</v>
      </c>
      <c r="C3537">
        <v>755.30756668481229</v>
      </c>
    </row>
    <row r="3538" spans="1:3" x14ac:dyDescent="0.35">
      <c r="A3538" t="s">
        <v>71</v>
      </c>
      <c r="B3538">
        <v>1969</v>
      </c>
      <c r="C3538">
        <v>816.62281099718723</v>
      </c>
    </row>
    <row r="3539" spans="1:3" x14ac:dyDescent="0.35">
      <c r="A3539" t="s">
        <v>71</v>
      </c>
      <c r="B3539">
        <v>1970</v>
      </c>
      <c r="C3539">
        <v>1026.2343738209624</v>
      </c>
    </row>
    <row r="3540" spans="1:3" x14ac:dyDescent="0.35">
      <c r="A3540" t="s">
        <v>71</v>
      </c>
      <c r="B3540">
        <v>1971</v>
      </c>
      <c r="C3540">
        <v>1075.0714529197367</v>
      </c>
    </row>
    <row r="3541" spans="1:3" x14ac:dyDescent="0.35">
      <c r="A3541" t="s">
        <v>71</v>
      </c>
      <c r="B3541">
        <v>1972</v>
      </c>
      <c r="C3541">
        <v>1195.5014875621116</v>
      </c>
    </row>
    <row r="3542" spans="1:3" x14ac:dyDescent="0.35">
      <c r="A3542" t="s">
        <v>71</v>
      </c>
      <c r="B3542">
        <v>1973</v>
      </c>
      <c r="C3542">
        <v>1512.6709770873726</v>
      </c>
    </row>
    <row r="3543" spans="1:3" x14ac:dyDescent="0.35">
      <c r="A3543" t="s">
        <v>71</v>
      </c>
      <c r="B3543">
        <v>1974</v>
      </c>
      <c r="C3543">
        <v>1790.1142133707237</v>
      </c>
    </row>
    <row r="3544" spans="1:3" x14ac:dyDescent="0.35">
      <c r="A3544" t="s">
        <v>71</v>
      </c>
      <c r="B3544">
        <v>1975</v>
      </c>
      <c r="C3544">
        <v>2141.1266932814683</v>
      </c>
    </row>
    <row r="3545" spans="1:3" x14ac:dyDescent="0.35">
      <c r="A3545" t="s">
        <v>71</v>
      </c>
      <c r="B3545">
        <v>1976</v>
      </c>
      <c r="C3545">
        <v>2576.4769816680418</v>
      </c>
    </row>
    <row r="3546" spans="1:3" x14ac:dyDescent="0.35">
      <c r="A3546" t="s">
        <v>71</v>
      </c>
      <c r="B3546">
        <v>1977</v>
      </c>
      <c r="C3546">
        <v>2499.6446583573897</v>
      </c>
    </row>
    <row r="3547" spans="1:3" x14ac:dyDescent="0.35">
      <c r="A3547" t="s">
        <v>71</v>
      </c>
      <c r="B3547">
        <v>1978</v>
      </c>
      <c r="C3547">
        <v>2690.6231017615651</v>
      </c>
    </row>
    <row r="3548" spans="1:3" x14ac:dyDescent="0.35">
      <c r="A3548" t="s">
        <v>71</v>
      </c>
      <c r="B3548">
        <v>1979</v>
      </c>
      <c r="C3548">
        <v>2829.1611995849303</v>
      </c>
    </row>
    <row r="3549" spans="1:3" x14ac:dyDescent="0.35">
      <c r="A3549" t="s">
        <v>71</v>
      </c>
      <c r="B3549">
        <v>1980</v>
      </c>
      <c r="C3549">
        <v>2259.3074788600888</v>
      </c>
    </row>
    <row r="3550" spans="1:3" x14ac:dyDescent="0.35">
      <c r="A3550" t="s">
        <v>71</v>
      </c>
      <c r="B3550">
        <v>1981</v>
      </c>
      <c r="C3550">
        <v>2517.8597571718187</v>
      </c>
    </row>
    <row r="3551" spans="1:3" x14ac:dyDescent="0.35">
      <c r="A3551" t="s">
        <v>71</v>
      </c>
      <c r="B3551">
        <v>1982</v>
      </c>
      <c r="C3551">
        <v>3031.32892409642</v>
      </c>
    </row>
    <row r="3552" spans="1:3" x14ac:dyDescent="0.35">
      <c r="A3552" t="s">
        <v>71</v>
      </c>
      <c r="B3552">
        <v>1983</v>
      </c>
      <c r="C3552">
        <v>2082.6692509150325</v>
      </c>
    </row>
    <row r="3553" spans="1:3" x14ac:dyDescent="0.35">
      <c r="A3553" t="s">
        <v>71</v>
      </c>
      <c r="B3553">
        <v>1984</v>
      </c>
      <c r="C3553">
        <v>2013.1517578816145</v>
      </c>
    </row>
    <row r="3554" spans="1:3" x14ac:dyDescent="0.35">
      <c r="A3554" t="s">
        <v>71</v>
      </c>
      <c r="B3554">
        <v>1985</v>
      </c>
      <c r="C3554">
        <v>2687.0499843472821</v>
      </c>
    </row>
    <row r="3555" spans="1:3" x14ac:dyDescent="0.35">
      <c r="A3555" t="s">
        <v>71</v>
      </c>
      <c r="B3555">
        <v>1986</v>
      </c>
      <c r="C3555">
        <v>2758.1865684774807</v>
      </c>
    </row>
    <row r="3556" spans="1:3" x14ac:dyDescent="0.35">
      <c r="A3556" t="s">
        <v>71</v>
      </c>
      <c r="B3556">
        <v>1987</v>
      </c>
      <c r="C3556">
        <v>4323.6747701206978</v>
      </c>
    </row>
    <row r="3557" spans="1:3" x14ac:dyDescent="0.35">
      <c r="A3557" t="s">
        <v>71</v>
      </c>
      <c r="B3557">
        <v>1988</v>
      </c>
      <c r="C3557">
        <v>5874.1677528446126</v>
      </c>
    </row>
    <row r="3558" spans="1:3" x14ac:dyDescent="0.35">
      <c r="A3558" t="s">
        <v>71</v>
      </c>
      <c r="B3558">
        <v>1989</v>
      </c>
      <c r="C3558">
        <v>8761.4869658102252</v>
      </c>
    </row>
    <row r="3559" spans="1:3" x14ac:dyDescent="0.35">
      <c r="A3559" t="s">
        <v>71</v>
      </c>
      <c r="B3559">
        <v>1990</v>
      </c>
      <c r="C3559">
        <v>9236.2969554052634</v>
      </c>
    </row>
    <row r="3560" spans="1:3" x14ac:dyDescent="0.35">
      <c r="A3560" t="s">
        <v>71</v>
      </c>
      <c r="B3560">
        <v>1991</v>
      </c>
      <c r="C3560">
        <v>6694.6652951506303</v>
      </c>
    </row>
    <row r="3561" spans="1:3" x14ac:dyDescent="0.35">
      <c r="A3561" t="s">
        <v>71</v>
      </c>
      <c r="B3561">
        <v>1992</v>
      </c>
      <c r="C3561">
        <v>4993.8044669281426</v>
      </c>
    </row>
    <row r="3562" spans="1:3" x14ac:dyDescent="0.35">
      <c r="A3562" t="s">
        <v>71</v>
      </c>
      <c r="B3562">
        <v>1993</v>
      </c>
      <c r="C3562">
        <v>7099.8991550973706</v>
      </c>
    </row>
    <row r="3563" spans="1:3" x14ac:dyDescent="0.35">
      <c r="A3563" t="s">
        <v>71</v>
      </c>
      <c r="B3563">
        <v>1994</v>
      </c>
      <c r="C3563">
        <v>10591.499118378055</v>
      </c>
    </row>
    <row r="3564" spans="1:3" x14ac:dyDescent="0.35">
      <c r="A3564" t="s">
        <v>71</v>
      </c>
      <c r="B3564">
        <v>1995</v>
      </c>
      <c r="C3564">
        <v>14318.919608093132</v>
      </c>
    </row>
    <row r="3565" spans="1:3" x14ac:dyDescent="0.35">
      <c r="A3565" t="s">
        <v>71</v>
      </c>
      <c r="B3565">
        <v>1996</v>
      </c>
      <c r="C3565">
        <v>14073.226544622425</v>
      </c>
    </row>
    <row r="3566" spans="1:3" x14ac:dyDescent="0.35">
      <c r="A3566" t="s">
        <v>71</v>
      </c>
      <c r="B3566">
        <v>1997</v>
      </c>
      <c r="C3566">
        <v>13934.266551637769</v>
      </c>
    </row>
    <row r="3567" spans="1:3" x14ac:dyDescent="0.35">
      <c r="A3567" t="s">
        <v>71</v>
      </c>
      <c r="B3567">
        <v>1998</v>
      </c>
      <c r="C3567">
        <v>14357.357046841073</v>
      </c>
    </row>
    <row r="3568" spans="1:3" x14ac:dyDescent="0.35">
      <c r="A3568" t="s">
        <v>71</v>
      </c>
      <c r="B3568">
        <v>1999</v>
      </c>
      <c r="C3568">
        <v>9866.9739185084327</v>
      </c>
    </row>
    <row r="3569" spans="1:3" x14ac:dyDescent="0.35">
      <c r="A3569" t="s">
        <v>71</v>
      </c>
      <c r="B3569">
        <v>2000</v>
      </c>
      <c r="C3569">
        <v>11344.032534901771</v>
      </c>
    </row>
    <row r="3570" spans="1:3" x14ac:dyDescent="0.35">
      <c r="A3570" t="s">
        <v>71</v>
      </c>
      <c r="B3570">
        <v>2001</v>
      </c>
      <c r="C3570">
        <v>10930.231568374596</v>
      </c>
    </row>
    <row r="3571" spans="1:3" x14ac:dyDescent="0.35">
      <c r="A3571" t="s">
        <v>71</v>
      </c>
      <c r="B3571">
        <v>2002</v>
      </c>
      <c r="C3571">
        <v>9664.5619033269868</v>
      </c>
    </row>
    <row r="3572" spans="1:3" x14ac:dyDescent="0.35">
      <c r="A3572" t="s">
        <v>71</v>
      </c>
      <c r="B3572">
        <v>2003</v>
      </c>
      <c r="C3572">
        <v>8392.9058840349899</v>
      </c>
    </row>
    <row r="3573" spans="1:3" x14ac:dyDescent="0.35">
      <c r="A3573" t="s">
        <v>71</v>
      </c>
      <c r="B3573">
        <v>2004</v>
      </c>
      <c r="C3573">
        <v>9780.1115851657378</v>
      </c>
    </row>
    <row r="3574" spans="1:3" x14ac:dyDescent="0.35">
      <c r="A3574" t="s">
        <v>71</v>
      </c>
      <c r="B3574">
        <v>2005</v>
      </c>
      <c r="C3574">
        <v>13588.619736361059</v>
      </c>
    </row>
    <row r="3575" spans="1:3" x14ac:dyDescent="0.35">
      <c r="A3575" t="s">
        <v>71</v>
      </c>
      <c r="B3575">
        <v>2006</v>
      </c>
      <c r="C3575">
        <v>16404.867307488978</v>
      </c>
    </row>
    <row r="3576" spans="1:3" x14ac:dyDescent="0.35">
      <c r="A3576" t="s">
        <v>71</v>
      </c>
      <c r="B3576">
        <v>2007</v>
      </c>
      <c r="C3576">
        <v>20485.758014647723</v>
      </c>
    </row>
    <row r="3577" spans="1:3" x14ac:dyDescent="0.35">
      <c r="A3577" t="s">
        <v>71</v>
      </c>
      <c r="B3577">
        <v>2008</v>
      </c>
      <c r="C3577">
        <v>24452.903035822379</v>
      </c>
    </row>
    <row r="3578" spans="1:3" x14ac:dyDescent="0.35">
      <c r="A3578" t="s">
        <v>71</v>
      </c>
      <c r="B3578">
        <v>2009</v>
      </c>
      <c r="C3578">
        <v>25648.809910824584</v>
      </c>
    </row>
    <row r="3579" spans="1:3" x14ac:dyDescent="0.35">
      <c r="A3579" t="s">
        <v>71</v>
      </c>
      <c r="B3579">
        <v>2010</v>
      </c>
      <c r="C3579">
        <v>34002.944470023816</v>
      </c>
    </row>
    <row r="3580" spans="1:3" x14ac:dyDescent="0.35">
      <c r="A3580" t="s">
        <v>71</v>
      </c>
      <c r="B3580">
        <v>2011</v>
      </c>
      <c r="C3580">
        <v>36936.20989580531</v>
      </c>
    </row>
    <row r="3581" spans="1:3" x14ac:dyDescent="0.35">
      <c r="A3581" t="s">
        <v>71</v>
      </c>
      <c r="B3581">
        <v>2012</v>
      </c>
      <c r="C3581">
        <v>33987.005074062887</v>
      </c>
    </row>
    <row r="3582" spans="1:3" x14ac:dyDescent="0.35">
      <c r="A3582" t="s">
        <v>71</v>
      </c>
      <c r="B3582">
        <v>2013</v>
      </c>
      <c r="C3582">
        <v>32874.787230588707</v>
      </c>
    </row>
    <row r="3583" spans="1:3" x14ac:dyDescent="0.35">
      <c r="A3583" t="s">
        <v>71</v>
      </c>
      <c r="B3583">
        <v>2014</v>
      </c>
      <c r="C3583">
        <v>32660.239369452549</v>
      </c>
    </row>
    <row r="3584" spans="1:3" x14ac:dyDescent="0.35">
      <c r="A3584" t="s">
        <v>71</v>
      </c>
      <c r="B3584">
        <v>2015</v>
      </c>
      <c r="C3584">
        <v>24617.701683065468</v>
      </c>
    </row>
    <row r="3585" spans="1:3" x14ac:dyDescent="0.35">
      <c r="A3585" t="s">
        <v>71</v>
      </c>
      <c r="B3585">
        <v>2016</v>
      </c>
      <c r="C3585">
        <v>24224.7469014667</v>
      </c>
    </row>
    <row r="3586" spans="1:3" x14ac:dyDescent="0.35">
      <c r="A3586" t="s">
        <v>71</v>
      </c>
      <c r="B3586">
        <v>2017</v>
      </c>
      <c r="C3586">
        <v>29261.833096669317</v>
      </c>
    </row>
    <row r="3587" spans="1:3" x14ac:dyDescent="0.35">
      <c r="A3587" t="s">
        <v>71</v>
      </c>
      <c r="B3587">
        <v>2018</v>
      </c>
      <c r="C3587">
        <v>28177.406872263662</v>
      </c>
    </row>
    <row r="3588" spans="1:3" x14ac:dyDescent="0.35">
      <c r="A3588" t="s">
        <v>71</v>
      </c>
      <c r="B3588">
        <v>2019</v>
      </c>
      <c r="C3588">
        <v>25906.871196754564</v>
      </c>
    </row>
    <row r="3589" spans="1:3" x14ac:dyDescent="0.35">
      <c r="A3589" t="s">
        <v>71</v>
      </c>
      <c r="B3589">
        <v>2020</v>
      </c>
      <c r="C3589">
        <v>19591.209004463421</v>
      </c>
    </row>
    <row r="3590" spans="1:3" x14ac:dyDescent="0.35">
      <c r="A3590" t="s">
        <v>71</v>
      </c>
      <c r="B3590">
        <v>2021</v>
      </c>
      <c r="C3590">
        <v>19187.122475449323</v>
      </c>
    </row>
    <row r="3591" spans="1:3" x14ac:dyDescent="0.35">
      <c r="A3591" t="s">
        <v>71</v>
      </c>
      <c r="B3591">
        <v>2022</v>
      </c>
      <c r="C3591">
        <v>20542.063567371617</v>
      </c>
    </row>
    <row r="3592" spans="1:3" x14ac:dyDescent="0.35">
      <c r="A3592" t="s">
        <v>71</v>
      </c>
      <c r="B3592">
        <v>2023</v>
      </c>
      <c r="C3592">
        <v>21788.291072488297</v>
      </c>
    </row>
    <row r="3593" spans="1:3" x14ac:dyDescent="0.35">
      <c r="A3593" t="s">
        <v>71</v>
      </c>
      <c r="B3593">
        <v>2024</v>
      </c>
      <c r="C3593">
        <v>20963.641605747773</v>
      </c>
    </row>
    <row r="3594" spans="1:3" x14ac:dyDescent="0.35">
      <c r="A3594" t="s">
        <v>71</v>
      </c>
      <c r="B3594">
        <v>2025</v>
      </c>
      <c r="C3594">
        <v>23949.869705559584</v>
      </c>
    </row>
    <row r="3595" spans="1:3" x14ac:dyDescent="0.35">
      <c r="A3595" t="s">
        <v>72</v>
      </c>
      <c r="B3595">
        <v>1950</v>
      </c>
      <c r="C3595">
        <v>87.502552157771277</v>
      </c>
    </row>
    <row r="3596" spans="1:3" x14ac:dyDescent="0.35">
      <c r="A3596" t="s">
        <v>72</v>
      </c>
      <c r="B3596">
        <v>1951</v>
      </c>
      <c r="C3596">
        <v>107.14591845481299</v>
      </c>
    </row>
    <row r="3597" spans="1:3" x14ac:dyDescent="0.35">
      <c r="A3597" t="s">
        <v>72</v>
      </c>
      <c r="B3597">
        <v>1952</v>
      </c>
      <c r="C3597">
        <v>109.68060363042798</v>
      </c>
    </row>
    <row r="3598" spans="1:3" x14ac:dyDescent="0.35">
      <c r="A3598" t="s">
        <v>72</v>
      </c>
      <c r="B3598">
        <v>1953</v>
      </c>
      <c r="C3598">
        <v>136.62375929428899</v>
      </c>
    </row>
    <row r="3599" spans="1:3" x14ac:dyDescent="0.35">
      <c r="A3599" t="s">
        <v>72</v>
      </c>
      <c r="B3599">
        <v>1954</v>
      </c>
      <c r="C3599">
        <v>102.17691171371334</v>
      </c>
    </row>
    <row r="3600" spans="1:3" x14ac:dyDescent="0.35">
      <c r="A3600" t="s">
        <v>72</v>
      </c>
      <c r="B3600">
        <v>1955</v>
      </c>
      <c r="C3600">
        <v>141.9796907311954</v>
      </c>
    </row>
    <row r="3601" spans="1:3" x14ac:dyDescent="0.35">
      <c r="A3601" t="s">
        <v>72</v>
      </c>
      <c r="B3601">
        <v>1956</v>
      </c>
      <c r="C3601">
        <v>136.90883657251703</v>
      </c>
    </row>
    <row r="3602" spans="1:3" x14ac:dyDescent="0.35">
      <c r="A3602" t="s">
        <v>72</v>
      </c>
      <c r="B3602">
        <v>1957</v>
      </c>
      <c r="C3602">
        <v>117.0111141376281</v>
      </c>
    </row>
    <row r="3603" spans="1:3" x14ac:dyDescent="0.35">
      <c r="A3603" t="s">
        <v>72</v>
      </c>
      <c r="B3603">
        <v>1958</v>
      </c>
      <c r="C3603">
        <v>114.95133726722355</v>
      </c>
    </row>
    <row r="3604" spans="1:3" x14ac:dyDescent="0.35">
      <c r="A3604" t="s">
        <v>72</v>
      </c>
      <c r="B3604">
        <v>1959</v>
      </c>
      <c r="C3604">
        <v>91.072173638629849</v>
      </c>
    </row>
    <row r="3605" spans="1:3" x14ac:dyDescent="0.35">
      <c r="A3605" t="s">
        <v>72</v>
      </c>
      <c r="B3605">
        <v>1960</v>
      </c>
      <c r="C3605">
        <v>126.79104264182961</v>
      </c>
    </row>
    <row r="3606" spans="1:3" x14ac:dyDescent="0.35">
      <c r="A3606" t="s">
        <v>72</v>
      </c>
      <c r="B3606">
        <v>1961</v>
      </c>
      <c r="C3606">
        <v>160.93092349591484</v>
      </c>
    </row>
    <row r="3607" spans="1:3" x14ac:dyDescent="0.35">
      <c r="A3607" t="s">
        <v>72</v>
      </c>
      <c r="B3607">
        <v>1962</v>
      </c>
      <c r="C3607">
        <v>162.6262244241897</v>
      </c>
    </row>
    <row r="3608" spans="1:3" x14ac:dyDescent="0.35">
      <c r="A3608" t="s">
        <v>72</v>
      </c>
      <c r="B3608">
        <v>1963</v>
      </c>
      <c r="C3608">
        <v>152.91745540421388</v>
      </c>
    </row>
    <row r="3609" spans="1:3" x14ac:dyDescent="0.35">
      <c r="A3609" t="s">
        <v>72</v>
      </c>
      <c r="B3609">
        <v>1964</v>
      </c>
      <c r="C3609">
        <v>149.95037769293108</v>
      </c>
    </row>
    <row r="3610" spans="1:3" x14ac:dyDescent="0.35">
      <c r="A3610" t="s">
        <v>72</v>
      </c>
      <c r="B3610">
        <v>1965</v>
      </c>
      <c r="C3610">
        <v>168.21577236699551</v>
      </c>
    </row>
    <row r="3611" spans="1:3" x14ac:dyDescent="0.35">
      <c r="A3611" t="s">
        <v>72</v>
      </c>
      <c r="B3611">
        <v>1966</v>
      </c>
      <c r="C3611">
        <v>186.6979647584871</v>
      </c>
    </row>
    <row r="3612" spans="1:3" x14ac:dyDescent="0.35">
      <c r="A3612" t="s">
        <v>72</v>
      </c>
      <c r="B3612">
        <v>1967</v>
      </c>
      <c r="C3612">
        <v>182.70534127029541</v>
      </c>
    </row>
    <row r="3613" spans="1:3" x14ac:dyDescent="0.35">
      <c r="A3613" t="s">
        <v>72</v>
      </c>
      <c r="B3613">
        <v>1968</v>
      </c>
      <c r="C3613">
        <v>173.78102427553671</v>
      </c>
    </row>
    <row r="3614" spans="1:3" x14ac:dyDescent="0.35">
      <c r="A3614" t="s">
        <v>72</v>
      </c>
      <c r="B3614">
        <v>1969</v>
      </c>
      <c r="C3614">
        <v>179.980922718443</v>
      </c>
    </row>
    <row r="3615" spans="1:3" x14ac:dyDescent="0.35">
      <c r="A3615" t="s">
        <v>72</v>
      </c>
      <c r="B3615">
        <v>1970</v>
      </c>
      <c r="C3615">
        <v>388.38395034360457</v>
      </c>
    </row>
    <row r="3616" spans="1:3" x14ac:dyDescent="0.35">
      <c r="A3616" t="s">
        <v>72</v>
      </c>
      <c r="B3616">
        <v>1971</v>
      </c>
      <c r="C3616">
        <v>651.58986288354106</v>
      </c>
    </row>
    <row r="3617" spans="1:3" x14ac:dyDescent="0.35">
      <c r="A3617" t="s">
        <v>72</v>
      </c>
      <c r="B3617">
        <v>1972</v>
      </c>
      <c r="C3617">
        <v>745.66118875748725</v>
      </c>
    </row>
    <row r="3618" spans="1:3" x14ac:dyDescent="0.35">
      <c r="A3618" t="s">
        <v>72</v>
      </c>
      <c r="B3618">
        <v>1973</v>
      </c>
      <c r="C3618">
        <v>1005.9197201637589</v>
      </c>
    </row>
    <row r="3619" spans="1:3" x14ac:dyDescent="0.35">
      <c r="A3619" t="s">
        <v>72</v>
      </c>
      <c r="B3619">
        <v>1974</v>
      </c>
      <c r="C3619">
        <v>1103.1904808493555</v>
      </c>
    </row>
    <row r="3620" spans="1:3" x14ac:dyDescent="0.35">
      <c r="A3620" t="s">
        <v>72</v>
      </c>
      <c r="B3620">
        <v>1975</v>
      </c>
      <c r="C3620">
        <v>486.72007689769919</v>
      </c>
    </row>
    <row r="3621" spans="1:3" x14ac:dyDescent="0.35">
      <c r="A3621" t="s">
        <v>72</v>
      </c>
      <c r="B3621">
        <v>1976</v>
      </c>
      <c r="C3621">
        <v>599.80695867996496</v>
      </c>
    </row>
    <row r="3622" spans="1:3" x14ac:dyDescent="0.35">
      <c r="A3622" t="s">
        <v>72</v>
      </c>
      <c r="B3622">
        <v>1977</v>
      </c>
      <c r="C3622">
        <v>924.04275671207949</v>
      </c>
    </row>
    <row r="3623" spans="1:3" x14ac:dyDescent="0.35">
      <c r="A3623" t="s">
        <v>72</v>
      </c>
      <c r="B3623">
        <v>1978</v>
      </c>
      <c r="C3623">
        <v>1036.1450350330745</v>
      </c>
    </row>
    <row r="3624" spans="1:3" x14ac:dyDescent="0.35">
      <c r="A3624" t="s">
        <v>72</v>
      </c>
      <c r="B3624">
        <v>1979</v>
      </c>
      <c r="C3624">
        <v>1312.8997094974466</v>
      </c>
    </row>
    <row r="3625" spans="1:3" x14ac:dyDescent="0.35">
      <c r="A3625" t="s">
        <v>72</v>
      </c>
      <c r="B3625">
        <v>1980</v>
      </c>
      <c r="C3625">
        <v>1787.1794871794873</v>
      </c>
    </row>
    <row r="3626" spans="1:3" x14ac:dyDescent="0.35">
      <c r="A3626" t="s">
        <v>72</v>
      </c>
      <c r="B3626">
        <v>1981</v>
      </c>
      <c r="C3626">
        <v>2292.3076923076924</v>
      </c>
    </row>
    <row r="3627" spans="1:3" x14ac:dyDescent="0.35">
      <c r="A3627" t="s">
        <v>72</v>
      </c>
      <c r="B3627">
        <v>1982</v>
      </c>
      <c r="C3627">
        <v>2160.7478544755963</v>
      </c>
    </row>
    <row r="3628" spans="1:3" x14ac:dyDescent="0.35">
      <c r="A3628" t="s">
        <v>72</v>
      </c>
      <c r="B3628">
        <v>1983</v>
      </c>
      <c r="C3628">
        <v>1497.6843008416224</v>
      </c>
    </row>
    <row r="3629" spans="1:3" x14ac:dyDescent="0.35">
      <c r="A3629" t="s">
        <v>72</v>
      </c>
      <c r="B3629">
        <v>1984</v>
      </c>
      <c r="C3629">
        <v>1462.2629534665277</v>
      </c>
    </row>
    <row r="3630" spans="1:3" x14ac:dyDescent="0.35">
      <c r="A3630" t="s">
        <v>72</v>
      </c>
      <c r="B3630">
        <v>1985</v>
      </c>
      <c r="C3630">
        <v>1137.6352107422601</v>
      </c>
    </row>
    <row r="3631" spans="1:3" x14ac:dyDescent="0.35">
      <c r="A3631" t="s">
        <v>72</v>
      </c>
      <c r="B3631">
        <v>1986</v>
      </c>
      <c r="C3631">
        <v>1114.393821593324</v>
      </c>
    </row>
    <row r="3632" spans="1:3" x14ac:dyDescent="0.35">
      <c r="A3632" t="s">
        <v>72</v>
      </c>
      <c r="B3632">
        <v>1987</v>
      </c>
      <c r="C3632">
        <v>1166.781369783097</v>
      </c>
    </row>
    <row r="3633" spans="1:3" x14ac:dyDescent="0.35">
      <c r="A3633" t="s">
        <v>72</v>
      </c>
      <c r="B3633">
        <v>1988</v>
      </c>
      <c r="C3633">
        <v>999.95102280704623</v>
      </c>
    </row>
    <row r="3634" spans="1:3" x14ac:dyDescent="0.35">
      <c r="A3634" t="s">
        <v>72</v>
      </c>
      <c r="B3634">
        <v>1989</v>
      </c>
      <c r="C3634">
        <v>988.9344231590461</v>
      </c>
    </row>
    <row r="3635" spans="1:3" x14ac:dyDescent="0.35">
      <c r="A3635" t="s">
        <v>72</v>
      </c>
      <c r="B3635">
        <v>1990</v>
      </c>
      <c r="C3635">
        <v>1031.4755840382022</v>
      </c>
    </row>
    <row r="3636" spans="1:3" x14ac:dyDescent="0.35">
      <c r="A3636" t="s">
        <v>72</v>
      </c>
      <c r="B3636">
        <v>1991</v>
      </c>
      <c r="C3636">
        <v>1038.0394941812517</v>
      </c>
    </row>
    <row r="3637" spans="1:3" x14ac:dyDescent="0.35">
      <c r="A3637" t="s">
        <v>72</v>
      </c>
      <c r="B3637">
        <v>1992</v>
      </c>
      <c r="C3637">
        <v>1168.8583910683553</v>
      </c>
    </row>
    <row r="3638" spans="1:3" x14ac:dyDescent="0.35">
      <c r="A3638" t="s">
        <v>72</v>
      </c>
      <c r="B3638">
        <v>1993</v>
      </c>
      <c r="C3638">
        <v>1291.0536759648262</v>
      </c>
    </row>
    <row r="3639" spans="1:3" x14ac:dyDescent="0.35">
      <c r="A3639" t="s">
        <v>72</v>
      </c>
      <c r="B3639">
        <v>1994</v>
      </c>
      <c r="C3639">
        <v>1466.0488318018358</v>
      </c>
    </row>
    <row r="3640" spans="1:3" x14ac:dyDescent="0.35">
      <c r="A3640" t="s">
        <v>72</v>
      </c>
      <c r="B3640">
        <v>1995</v>
      </c>
      <c r="C3640">
        <v>1827.9973687725726</v>
      </c>
    </row>
    <row r="3641" spans="1:3" x14ac:dyDescent="0.35">
      <c r="A3641" t="s">
        <v>72</v>
      </c>
      <c r="B3641">
        <v>1996</v>
      </c>
      <c r="C3641">
        <v>1904.105834325813</v>
      </c>
    </row>
    <row r="3642" spans="1:3" x14ac:dyDescent="0.35">
      <c r="A3642" t="s">
        <v>72</v>
      </c>
      <c r="B3642">
        <v>1997</v>
      </c>
      <c r="C3642">
        <v>2120.7026079490574</v>
      </c>
    </row>
    <row r="3643" spans="1:3" x14ac:dyDescent="0.35">
      <c r="A3643" t="s">
        <v>72</v>
      </c>
      <c r="B3643">
        <v>1998</v>
      </c>
      <c r="C3643">
        <v>2112.3731229143491</v>
      </c>
    </row>
    <row r="3644" spans="1:3" x14ac:dyDescent="0.35">
      <c r="A3644" t="s">
        <v>72</v>
      </c>
      <c r="B3644">
        <v>1999</v>
      </c>
      <c r="C3644">
        <v>2043.1348115186026</v>
      </c>
    </row>
    <row r="3645" spans="1:3" x14ac:dyDescent="0.35">
      <c r="A3645" t="s">
        <v>72</v>
      </c>
      <c r="B3645">
        <v>2000</v>
      </c>
      <c r="C3645">
        <v>2103.4606096885213</v>
      </c>
    </row>
    <row r="3646" spans="1:3" x14ac:dyDescent="0.35">
      <c r="A3646" t="s">
        <v>72</v>
      </c>
      <c r="B3646">
        <v>2001</v>
      </c>
      <c r="C3646">
        <v>1893.0982237635801</v>
      </c>
    </row>
    <row r="3647" spans="1:3" x14ac:dyDescent="0.35">
      <c r="A3647" t="s">
        <v>72</v>
      </c>
      <c r="B3647">
        <v>2002</v>
      </c>
      <c r="C3647">
        <v>1779.5531376599022</v>
      </c>
    </row>
    <row r="3648" spans="1:3" x14ac:dyDescent="0.35">
      <c r="A3648" t="s">
        <v>72</v>
      </c>
      <c r="B3648">
        <v>2003</v>
      </c>
      <c r="C3648">
        <v>2067.9839976395651</v>
      </c>
    </row>
    <row r="3649" spans="1:3" x14ac:dyDescent="0.35">
      <c r="A3649" t="s">
        <v>72</v>
      </c>
      <c r="B3649">
        <v>2004</v>
      </c>
      <c r="C3649">
        <v>2687.3208657832524</v>
      </c>
    </row>
    <row r="3650" spans="1:3" x14ac:dyDescent="0.35">
      <c r="A3650" t="s">
        <v>72</v>
      </c>
      <c r="B3650">
        <v>2005</v>
      </c>
      <c r="C3650">
        <v>3100.391590801903</v>
      </c>
    </row>
    <row r="3651" spans="1:3" x14ac:dyDescent="0.35">
      <c r="A3651" t="s">
        <v>72</v>
      </c>
      <c r="B3651">
        <v>2006</v>
      </c>
      <c r="C3651">
        <v>3855.3580689265009</v>
      </c>
    </row>
    <row r="3652" spans="1:3" x14ac:dyDescent="0.35">
      <c r="A3652" t="s">
        <v>72</v>
      </c>
      <c r="B3652">
        <v>2007</v>
      </c>
      <c r="C3652">
        <v>4022.4781037545167</v>
      </c>
    </row>
    <row r="3653" spans="1:3" x14ac:dyDescent="0.35">
      <c r="A3653" t="s">
        <v>72</v>
      </c>
      <c r="B3653">
        <v>2008</v>
      </c>
      <c r="C3653">
        <v>4641.8775755510942</v>
      </c>
    </row>
    <row r="3654" spans="1:3" x14ac:dyDescent="0.35">
      <c r="A3654" t="s">
        <v>72</v>
      </c>
      <c r="B3654">
        <v>2009</v>
      </c>
      <c r="C3654">
        <v>3902.2215882751489</v>
      </c>
    </row>
    <row r="3655" spans="1:3" x14ac:dyDescent="0.35">
      <c r="A3655" t="s">
        <v>72</v>
      </c>
      <c r="B3655">
        <v>2010</v>
      </c>
      <c r="C3655">
        <v>4894.0811250977458</v>
      </c>
    </row>
    <row r="3656" spans="1:3" x14ac:dyDescent="0.35">
      <c r="A3656" t="s">
        <v>72</v>
      </c>
      <c r="B3656">
        <v>2011</v>
      </c>
      <c r="C3656">
        <v>5686.7520696014626</v>
      </c>
    </row>
    <row r="3657" spans="1:3" x14ac:dyDescent="0.35">
      <c r="A3657" t="s">
        <v>72</v>
      </c>
      <c r="B3657">
        <v>2012</v>
      </c>
      <c r="C3657">
        <v>5466.1017820178386</v>
      </c>
    </row>
    <row r="3658" spans="1:3" x14ac:dyDescent="0.35">
      <c r="A3658" t="s">
        <v>72</v>
      </c>
      <c r="B3658">
        <v>2013</v>
      </c>
      <c r="C3658">
        <v>5529.8794806096839</v>
      </c>
    </row>
    <row r="3659" spans="1:3" x14ac:dyDescent="0.35">
      <c r="A3659" t="s">
        <v>72</v>
      </c>
      <c r="B3659">
        <v>2014</v>
      </c>
      <c r="C3659">
        <v>5102.7774221173377</v>
      </c>
    </row>
    <row r="3660" spans="1:3" x14ac:dyDescent="0.35">
      <c r="A3660" t="s">
        <v>72</v>
      </c>
      <c r="B3660">
        <v>2015</v>
      </c>
      <c r="C3660">
        <v>4630.7727737217456</v>
      </c>
    </row>
    <row r="3661" spans="1:3" x14ac:dyDescent="0.35">
      <c r="A3661" t="s">
        <v>72</v>
      </c>
      <c r="B3661">
        <v>2016</v>
      </c>
      <c r="C3661">
        <v>4796.01096208952</v>
      </c>
    </row>
    <row r="3662" spans="1:3" x14ac:dyDescent="0.35">
      <c r="A3662" t="s">
        <v>72</v>
      </c>
      <c r="B3662">
        <v>2017</v>
      </c>
      <c r="C3662">
        <v>5370.0181348706792</v>
      </c>
    </row>
    <row r="3663" spans="1:3" x14ac:dyDescent="0.35">
      <c r="A3663" t="s">
        <v>72</v>
      </c>
      <c r="B3663">
        <v>2018</v>
      </c>
      <c r="C3663">
        <v>5545.8319327785639</v>
      </c>
    </row>
    <row r="3664" spans="1:3" x14ac:dyDescent="0.35">
      <c r="A3664" t="s">
        <v>72</v>
      </c>
      <c r="B3664">
        <v>2019</v>
      </c>
      <c r="C3664">
        <v>5182.1565286601572</v>
      </c>
    </row>
    <row r="3665" spans="1:3" x14ac:dyDescent="0.35">
      <c r="A3665" t="s">
        <v>72</v>
      </c>
      <c r="B3665">
        <v>2020</v>
      </c>
      <c r="C3665">
        <v>5246.2047334518356</v>
      </c>
    </row>
    <row r="3666" spans="1:3" x14ac:dyDescent="0.35">
      <c r="A3666" t="s">
        <v>72</v>
      </c>
      <c r="B3666">
        <v>2021</v>
      </c>
      <c r="C3666">
        <v>5194.0591742976321</v>
      </c>
    </row>
    <row r="3667" spans="1:3" x14ac:dyDescent="0.35">
      <c r="A3667" t="s">
        <v>72</v>
      </c>
      <c r="B3667">
        <v>2022</v>
      </c>
      <c r="C3667">
        <v>4649.2957363293654</v>
      </c>
    </row>
    <row r="3668" spans="1:3" x14ac:dyDescent="0.35">
      <c r="A3668" t="s">
        <v>72</v>
      </c>
      <c r="B3668">
        <v>2023</v>
      </c>
      <c r="C3668">
        <v>5470.0785689041832</v>
      </c>
    </row>
    <row r="3669" spans="1:3" x14ac:dyDescent="0.35">
      <c r="A3669" t="s">
        <v>72</v>
      </c>
      <c r="B3669">
        <v>2024</v>
      </c>
      <c r="C3669">
        <v>5506.7456574498974</v>
      </c>
    </row>
    <row r="3670" spans="1:3" x14ac:dyDescent="0.35">
      <c r="A3670" t="s">
        <v>72</v>
      </c>
      <c r="B3670">
        <v>2025</v>
      </c>
      <c r="C3670">
        <v>5327.8856533799762</v>
      </c>
    </row>
    <row r="3671" spans="1:3" x14ac:dyDescent="0.35">
      <c r="A3671" t="s">
        <v>73</v>
      </c>
      <c r="B3671">
        <v>1958</v>
      </c>
      <c r="C3671">
        <v>76.09375</v>
      </c>
    </row>
    <row r="3672" spans="1:3" x14ac:dyDescent="0.35">
      <c r="A3672" t="s">
        <v>73</v>
      </c>
      <c r="B3672">
        <v>1959</v>
      </c>
      <c r="C3672">
        <v>67.65625</v>
      </c>
    </row>
    <row r="3673" spans="1:3" x14ac:dyDescent="0.35">
      <c r="A3673" t="s">
        <v>73</v>
      </c>
      <c r="B3673">
        <v>1960</v>
      </c>
      <c r="C3673">
        <v>75.960813865862846</v>
      </c>
    </row>
    <row r="3674" spans="1:3" x14ac:dyDescent="0.35">
      <c r="A3674" t="s">
        <v>73</v>
      </c>
      <c r="B3674">
        <v>1961</v>
      </c>
      <c r="C3674">
        <v>97.313432835820905</v>
      </c>
    </row>
    <row r="3675" spans="1:3" x14ac:dyDescent="0.35">
      <c r="A3675" t="s">
        <v>73</v>
      </c>
      <c r="B3675">
        <v>1962</v>
      </c>
      <c r="C3675">
        <v>153.59625341063381</v>
      </c>
    </row>
    <row r="3676" spans="1:3" x14ac:dyDescent="0.35">
      <c r="A3676" t="s">
        <v>73</v>
      </c>
      <c r="B3676">
        <v>1963</v>
      </c>
      <c r="C3676">
        <v>170</v>
      </c>
    </row>
    <row r="3677" spans="1:3" x14ac:dyDescent="0.35">
      <c r="A3677" t="s">
        <v>73</v>
      </c>
      <c r="B3677">
        <v>1964</v>
      </c>
      <c r="C3677">
        <v>190</v>
      </c>
    </row>
    <row r="3678" spans="1:3" x14ac:dyDescent="0.35">
      <c r="A3678" t="s">
        <v>73</v>
      </c>
      <c r="B3678">
        <v>1965</v>
      </c>
      <c r="C3678">
        <v>185.20286396181385</v>
      </c>
    </row>
    <row r="3679" spans="1:3" x14ac:dyDescent="0.35">
      <c r="A3679" t="s">
        <v>73</v>
      </c>
      <c r="B3679">
        <v>1966</v>
      </c>
      <c r="C3679">
        <v>172.59259259259261</v>
      </c>
    </row>
    <row r="3680" spans="1:3" x14ac:dyDescent="0.35">
      <c r="A3680" t="s">
        <v>73</v>
      </c>
      <c r="B3680">
        <v>1967</v>
      </c>
      <c r="C3680">
        <v>178.54188496112062</v>
      </c>
    </row>
    <row r="3681" spans="1:3" x14ac:dyDescent="0.35">
      <c r="A3681" t="s">
        <v>73</v>
      </c>
      <c r="B3681">
        <v>1968</v>
      </c>
      <c r="C3681">
        <v>141.18484779659559</v>
      </c>
    </row>
    <row r="3682" spans="1:3" x14ac:dyDescent="0.35">
      <c r="A3682" t="s">
        <v>73</v>
      </c>
      <c r="B3682">
        <v>1969</v>
      </c>
      <c r="C3682">
        <v>131.63896282354028</v>
      </c>
    </row>
    <row r="3683" spans="1:3" x14ac:dyDescent="0.35">
      <c r="A3683" t="s">
        <v>73</v>
      </c>
      <c r="B3683">
        <v>1970</v>
      </c>
      <c r="C3683">
        <v>162.66245913105715</v>
      </c>
    </row>
    <row r="3684" spans="1:3" x14ac:dyDescent="0.35">
      <c r="A3684" t="s">
        <v>73</v>
      </c>
      <c r="B3684">
        <v>1971</v>
      </c>
      <c r="C3684">
        <v>263.89857464667193</v>
      </c>
    </row>
    <row r="3685" spans="1:3" x14ac:dyDescent="0.35">
      <c r="A3685" t="s">
        <v>73</v>
      </c>
      <c r="B3685">
        <v>1972</v>
      </c>
      <c r="C3685">
        <v>170.58758963851895</v>
      </c>
    </row>
    <row r="3686" spans="1:3" x14ac:dyDescent="0.35">
      <c r="A3686" t="s">
        <v>73</v>
      </c>
      <c r="B3686">
        <v>1973</v>
      </c>
      <c r="C3686">
        <v>173.87993400177692</v>
      </c>
    </row>
    <row r="3687" spans="1:3" x14ac:dyDescent="0.35">
      <c r="A3687" t="s">
        <v>73</v>
      </c>
      <c r="B3687">
        <v>1974</v>
      </c>
      <c r="C3687">
        <v>194.90410181053633</v>
      </c>
    </row>
    <row r="3688" spans="1:3" x14ac:dyDescent="0.35">
      <c r="A3688" t="s">
        <v>73</v>
      </c>
      <c r="B3688">
        <v>1975</v>
      </c>
      <c r="C3688">
        <v>227.94215119192731</v>
      </c>
    </row>
    <row r="3689" spans="1:3" x14ac:dyDescent="0.35">
      <c r="A3689" t="s">
        <v>73</v>
      </c>
      <c r="B3689">
        <v>1976</v>
      </c>
      <c r="C3689">
        <v>229.14691055199907</v>
      </c>
    </row>
    <row r="3690" spans="1:3" x14ac:dyDescent="0.35">
      <c r="A3690" t="s">
        <v>73</v>
      </c>
      <c r="B3690">
        <v>1977</v>
      </c>
      <c r="C3690">
        <v>280.08233876910612</v>
      </c>
    </row>
    <row r="3691" spans="1:3" x14ac:dyDescent="0.35">
      <c r="A3691" t="s">
        <v>73</v>
      </c>
      <c r="B3691">
        <v>1978</v>
      </c>
      <c r="C3691">
        <v>360.66362106275545</v>
      </c>
    </row>
    <row r="3692" spans="1:3" x14ac:dyDescent="0.35">
      <c r="A3692" t="s">
        <v>73</v>
      </c>
      <c r="B3692">
        <v>1979</v>
      </c>
      <c r="C3692">
        <v>467.68727467579168</v>
      </c>
    </row>
    <row r="3693" spans="1:3" x14ac:dyDescent="0.35">
      <c r="A3693" t="s">
        <v>73</v>
      </c>
      <c r="B3693">
        <v>1980</v>
      </c>
      <c r="C3693">
        <v>611.24823658056323</v>
      </c>
    </row>
    <row r="3694" spans="1:3" x14ac:dyDescent="0.35">
      <c r="A3694" t="s">
        <v>73</v>
      </c>
      <c r="B3694">
        <v>1981</v>
      </c>
      <c r="C3694">
        <v>638.64343325900848</v>
      </c>
    </row>
    <row r="3695" spans="1:3" x14ac:dyDescent="0.35">
      <c r="A3695" t="s">
        <v>73</v>
      </c>
      <c r="B3695">
        <v>1982</v>
      </c>
      <c r="C3695">
        <v>667.86612093058102</v>
      </c>
    </row>
    <row r="3696" spans="1:3" x14ac:dyDescent="0.35">
      <c r="A3696" t="s">
        <v>73</v>
      </c>
      <c r="B3696">
        <v>1983</v>
      </c>
      <c r="C3696">
        <v>859.81360559918733</v>
      </c>
    </row>
    <row r="3697" spans="1:3" x14ac:dyDescent="0.35">
      <c r="A3697" t="s">
        <v>73</v>
      </c>
      <c r="B3697">
        <v>1984</v>
      </c>
      <c r="C3697">
        <v>889.73089855877481</v>
      </c>
    </row>
    <row r="3698" spans="1:3" x14ac:dyDescent="0.35">
      <c r="A3698" t="s">
        <v>73</v>
      </c>
      <c r="B3698">
        <v>1985</v>
      </c>
      <c r="C3698">
        <v>716.73506099274823</v>
      </c>
    </row>
    <row r="3699" spans="1:3" x14ac:dyDescent="0.35">
      <c r="A3699" t="s">
        <v>73</v>
      </c>
      <c r="B3699">
        <v>1986</v>
      </c>
      <c r="C3699">
        <v>679.49820087408182</v>
      </c>
    </row>
    <row r="3700" spans="1:3" x14ac:dyDescent="0.35">
      <c r="A3700" t="s">
        <v>73</v>
      </c>
      <c r="B3700">
        <v>1987</v>
      </c>
      <c r="C3700">
        <v>721.33120643674761</v>
      </c>
    </row>
    <row r="3701" spans="1:3" x14ac:dyDescent="0.35">
      <c r="A3701" t="s">
        <v>73</v>
      </c>
      <c r="B3701">
        <v>1988</v>
      </c>
      <c r="C3701">
        <v>862.37440419287782</v>
      </c>
    </row>
    <row r="3702" spans="1:3" x14ac:dyDescent="0.35">
      <c r="A3702" t="s">
        <v>73</v>
      </c>
      <c r="B3702">
        <v>1989</v>
      </c>
      <c r="C3702">
        <v>865.20566278413253</v>
      </c>
    </row>
    <row r="3703" spans="1:3" x14ac:dyDescent="0.35">
      <c r="A3703" t="s">
        <v>73</v>
      </c>
      <c r="B3703">
        <v>1990</v>
      </c>
      <c r="C3703">
        <v>889.97907454122264</v>
      </c>
    </row>
    <row r="3704" spans="1:3" x14ac:dyDescent="0.35">
      <c r="A3704" t="s">
        <v>73</v>
      </c>
      <c r="B3704">
        <v>1991</v>
      </c>
      <c r="C3704">
        <v>911.46758919192155</v>
      </c>
    </row>
    <row r="3705" spans="1:3" x14ac:dyDescent="0.35">
      <c r="A3705" t="s">
        <v>73</v>
      </c>
      <c r="B3705">
        <v>1992</v>
      </c>
      <c r="C3705">
        <v>1102.3572269591534</v>
      </c>
    </row>
    <row r="3706" spans="1:3" x14ac:dyDescent="0.35">
      <c r="A3706" t="s">
        <v>73</v>
      </c>
      <c r="B3706">
        <v>1993</v>
      </c>
      <c r="C3706">
        <v>1529.4328932351561</v>
      </c>
    </row>
    <row r="3707" spans="1:3" x14ac:dyDescent="0.35">
      <c r="A3707" t="s">
        <v>73</v>
      </c>
      <c r="B3707">
        <v>1994</v>
      </c>
      <c r="C3707">
        <v>2005.1228877557301</v>
      </c>
    </row>
    <row r="3708" spans="1:3" x14ac:dyDescent="0.35">
      <c r="A3708" t="s">
        <v>73</v>
      </c>
      <c r="B3708">
        <v>1995</v>
      </c>
      <c r="C3708">
        <v>2619.3381871243805</v>
      </c>
    </row>
    <row r="3709" spans="1:3" x14ac:dyDescent="0.35">
      <c r="A3709" t="s">
        <v>73</v>
      </c>
      <c r="B3709">
        <v>1996</v>
      </c>
      <c r="C3709">
        <v>4318.5523155427372</v>
      </c>
    </row>
    <row r="3710" spans="1:3" x14ac:dyDescent="0.35">
      <c r="A3710" t="s">
        <v>73</v>
      </c>
      <c r="B3710">
        <v>1997</v>
      </c>
      <c r="C3710">
        <v>2988.7112606927499</v>
      </c>
    </row>
    <row r="3711" spans="1:3" x14ac:dyDescent="0.35">
      <c r="A3711" t="s">
        <v>73</v>
      </c>
      <c r="B3711">
        <v>1998</v>
      </c>
      <c r="C3711">
        <v>3389.8067375389192</v>
      </c>
    </row>
    <row r="3712" spans="1:3" x14ac:dyDescent="0.35">
      <c r="A3712" t="s">
        <v>73</v>
      </c>
      <c r="B3712">
        <v>1999</v>
      </c>
      <c r="C3712">
        <v>3247.2967663688696</v>
      </c>
    </row>
    <row r="3713" spans="1:3" x14ac:dyDescent="0.35">
      <c r="A3713" t="s">
        <v>73</v>
      </c>
      <c r="B3713">
        <v>2000</v>
      </c>
      <c r="C3713">
        <v>3027.9227932372241</v>
      </c>
    </row>
    <row r="3714" spans="1:3" x14ac:dyDescent="0.35">
      <c r="A3714" t="s">
        <v>73</v>
      </c>
      <c r="B3714">
        <v>2001</v>
      </c>
      <c r="C3714">
        <v>3264.438192230924</v>
      </c>
    </row>
    <row r="3715" spans="1:3" x14ac:dyDescent="0.35">
      <c r="A3715" t="s">
        <v>73</v>
      </c>
      <c r="B3715">
        <v>2002</v>
      </c>
      <c r="C3715">
        <v>3347.522601667572</v>
      </c>
    </row>
    <row r="3716" spans="1:3" x14ac:dyDescent="0.35">
      <c r="A3716" t="s">
        <v>73</v>
      </c>
      <c r="B3716">
        <v>2003</v>
      </c>
      <c r="C3716">
        <v>3278.3695028929856</v>
      </c>
    </row>
    <row r="3717" spans="1:3" x14ac:dyDescent="0.35">
      <c r="A3717" t="s">
        <v>73</v>
      </c>
      <c r="B3717">
        <v>2004</v>
      </c>
      <c r="C3717">
        <v>4056.8969911854551</v>
      </c>
    </row>
    <row r="3718" spans="1:3" x14ac:dyDescent="0.35">
      <c r="A3718" t="s">
        <v>73</v>
      </c>
      <c r="B3718">
        <v>2005</v>
      </c>
      <c r="C3718">
        <v>4914.1901819607638</v>
      </c>
    </row>
    <row r="3719" spans="1:3" x14ac:dyDescent="0.35">
      <c r="A3719" t="s">
        <v>73</v>
      </c>
      <c r="B3719">
        <v>2006</v>
      </c>
      <c r="C3719">
        <v>5326.6642384610823</v>
      </c>
    </row>
    <row r="3720" spans="1:3" x14ac:dyDescent="0.35">
      <c r="A3720" t="s">
        <v>73</v>
      </c>
      <c r="B3720">
        <v>2007</v>
      </c>
      <c r="C3720">
        <v>6775.7627665051559</v>
      </c>
    </row>
    <row r="3721" spans="1:3" x14ac:dyDescent="0.35">
      <c r="A3721" t="s">
        <v>73</v>
      </c>
      <c r="B3721">
        <v>2008</v>
      </c>
      <c r="C3721">
        <v>9051.1305019540487</v>
      </c>
    </row>
    <row r="3722" spans="1:3" x14ac:dyDescent="0.35">
      <c r="A3722" t="s">
        <v>73</v>
      </c>
      <c r="B3722">
        <v>2009</v>
      </c>
      <c r="C3722">
        <v>9033.2026725232354</v>
      </c>
    </row>
    <row r="3723" spans="1:3" x14ac:dyDescent="0.35">
      <c r="A3723" t="s">
        <v>73</v>
      </c>
      <c r="B3723">
        <v>2010</v>
      </c>
      <c r="C3723">
        <v>10422.054493645217</v>
      </c>
    </row>
    <row r="3724" spans="1:3" x14ac:dyDescent="0.35">
      <c r="A3724" t="s">
        <v>73</v>
      </c>
      <c r="B3724">
        <v>2011</v>
      </c>
      <c r="C3724">
        <v>10306.578505957341</v>
      </c>
    </row>
    <row r="3725" spans="1:3" x14ac:dyDescent="0.35">
      <c r="A3725" t="s">
        <v>73</v>
      </c>
      <c r="B3725">
        <v>2012</v>
      </c>
      <c r="C3725">
        <v>11706.271912738606</v>
      </c>
    </row>
    <row r="3726" spans="1:3" x14ac:dyDescent="0.35">
      <c r="A3726" t="s">
        <v>73</v>
      </c>
      <c r="B3726">
        <v>2013</v>
      </c>
      <c r="C3726">
        <v>12503.812627422021</v>
      </c>
    </row>
    <row r="3727" spans="1:3" x14ac:dyDescent="0.35">
      <c r="A3727" t="s">
        <v>73</v>
      </c>
      <c r="B3727">
        <v>2014</v>
      </c>
      <c r="C3727">
        <v>11845.950895382397</v>
      </c>
    </row>
    <row r="3728" spans="1:3" x14ac:dyDescent="0.35">
      <c r="A3728" t="s">
        <v>73</v>
      </c>
      <c r="B3728">
        <v>2015</v>
      </c>
      <c r="C3728">
        <v>9127.1653748895751</v>
      </c>
    </row>
    <row r="3729" spans="1:3" x14ac:dyDescent="0.35">
      <c r="A3729" t="s">
        <v>73</v>
      </c>
      <c r="B3729">
        <v>2016</v>
      </c>
      <c r="C3729">
        <v>8675.9808227639805</v>
      </c>
    </row>
    <row r="3730" spans="1:3" x14ac:dyDescent="0.35">
      <c r="A3730" t="s">
        <v>73</v>
      </c>
      <c r="B3730">
        <v>2017</v>
      </c>
      <c r="C3730">
        <v>10018.029817582357</v>
      </c>
    </row>
    <row r="3731" spans="1:3" x14ac:dyDescent="0.35">
      <c r="A3731" t="s">
        <v>73</v>
      </c>
      <c r="B3731">
        <v>2018</v>
      </c>
      <c r="C3731">
        <v>10134.71959055053</v>
      </c>
    </row>
    <row r="3732" spans="1:3" x14ac:dyDescent="0.35">
      <c r="A3732" t="s">
        <v>73</v>
      </c>
      <c r="B3732">
        <v>2019</v>
      </c>
      <c r="C3732">
        <v>10167.547855570394</v>
      </c>
    </row>
    <row r="3733" spans="1:3" x14ac:dyDescent="0.35">
      <c r="A3733" t="s">
        <v>73</v>
      </c>
      <c r="B3733">
        <v>2020</v>
      </c>
      <c r="C3733">
        <v>9554.131505351017</v>
      </c>
    </row>
    <row r="3734" spans="1:3" x14ac:dyDescent="0.35">
      <c r="A3734" t="s">
        <v>73</v>
      </c>
      <c r="B3734">
        <v>2021</v>
      </c>
      <c r="C3734">
        <v>10180.134292076586</v>
      </c>
    </row>
    <row r="3735" spans="1:3" x14ac:dyDescent="0.35">
      <c r="A3735" t="s">
        <v>73</v>
      </c>
      <c r="B3735">
        <v>2022</v>
      </c>
      <c r="C3735">
        <v>9661.013161746454</v>
      </c>
    </row>
    <row r="3736" spans="1:3" x14ac:dyDescent="0.35">
      <c r="A3736" t="s">
        <v>73</v>
      </c>
      <c r="B3736">
        <v>2023</v>
      </c>
      <c r="C3736">
        <v>10779.238341591625</v>
      </c>
    </row>
    <row r="3737" spans="1:3" x14ac:dyDescent="0.35">
      <c r="A3737" t="s">
        <v>73</v>
      </c>
      <c r="B3737">
        <v>2024</v>
      </c>
      <c r="C3737">
        <v>13876.037183895292</v>
      </c>
    </row>
    <row r="3738" spans="1:3" x14ac:dyDescent="0.35">
      <c r="A3738" t="s">
        <v>73</v>
      </c>
      <c r="B3738">
        <v>2025</v>
      </c>
      <c r="C3738">
        <v>14502.7068526697</v>
      </c>
    </row>
    <row r="3739" spans="1:3" x14ac:dyDescent="0.35">
      <c r="A3739" t="s">
        <v>74</v>
      </c>
      <c r="B3739">
        <v>1953</v>
      </c>
      <c r="C3739">
        <v>12.1</v>
      </c>
    </row>
    <row r="3740" spans="1:3" x14ac:dyDescent="0.35">
      <c r="A3740" t="s">
        <v>74</v>
      </c>
      <c r="B3740">
        <v>1957</v>
      </c>
      <c r="C3740">
        <v>19.3</v>
      </c>
    </row>
    <row r="3741" spans="1:3" x14ac:dyDescent="0.35">
      <c r="A3741" t="s">
        <v>74</v>
      </c>
      <c r="B3741">
        <v>1958</v>
      </c>
      <c r="C3741">
        <v>18.8</v>
      </c>
    </row>
    <row r="3742" spans="1:3" x14ac:dyDescent="0.35">
      <c r="A3742" t="s">
        <v>74</v>
      </c>
      <c r="B3742">
        <v>1959</v>
      </c>
      <c r="C3742">
        <v>16.5</v>
      </c>
    </row>
    <row r="3743" spans="1:3" x14ac:dyDescent="0.35">
      <c r="A3743" t="s">
        <v>74</v>
      </c>
      <c r="B3743">
        <v>1960</v>
      </c>
      <c r="C3743">
        <v>22.4</v>
      </c>
    </row>
    <row r="3744" spans="1:3" x14ac:dyDescent="0.35">
      <c r="A3744" t="s">
        <v>74</v>
      </c>
      <c r="B3744">
        <v>1961</v>
      </c>
      <c r="C3744">
        <v>18.7</v>
      </c>
    </row>
    <row r="3745" spans="1:3" x14ac:dyDescent="0.35">
      <c r="A3745" t="s">
        <v>74</v>
      </c>
      <c r="B3745">
        <v>1962</v>
      </c>
      <c r="C3745">
        <v>18.3</v>
      </c>
    </row>
    <row r="3746" spans="1:3" x14ac:dyDescent="0.35">
      <c r="A3746" t="s">
        <v>74</v>
      </c>
      <c r="B3746">
        <v>1963</v>
      </c>
      <c r="C3746">
        <v>17.100000000000001</v>
      </c>
    </row>
    <row r="3747" spans="1:3" x14ac:dyDescent="0.35">
      <c r="A3747" t="s">
        <v>74</v>
      </c>
      <c r="B3747">
        <v>1964</v>
      </c>
      <c r="C3747">
        <v>20.6</v>
      </c>
    </row>
    <row r="3748" spans="1:3" x14ac:dyDescent="0.35">
      <c r="A3748" t="s">
        <v>74</v>
      </c>
      <c r="B3748">
        <v>1965</v>
      </c>
      <c r="C3748">
        <v>23.8</v>
      </c>
    </row>
    <row r="3749" spans="1:3" x14ac:dyDescent="0.35">
      <c r="A3749" t="s">
        <v>74</v>
      </c>
      <c r="B3749">
        <v>1966</v>
      </c>
      <c r="C3749">
        <v>22.9</v>
      </c>
    </row>
    <row r="3750" spans="1:3" x14ac:dyDescent="0.35">
      <c r="A3750" t="s">
        <v>74</v>
      </c>
      <c r="B3750">
        <v>1967</v>
      </c>
      <c r="C3750">
        <v>25.3</v>
      </c>
    </row>
    <row r="3751" spans="1:3" x14ac:dyDescent="0.35">
      <c r="A3751" t="s">
        <v>74</v>
      </c>
      <c r="B3751">
        <v>1968</v>
      </c>
      <c r="C3751">
        <v>29.3</v>
      </c>
    </row>
    <row r="3752" spans="1:3" x14ac:dyDescent="0.35">
      <c r="A3752" t="s">
        <v>74</v>
      </c>
      <c r="B3752">
        <v>1969</v>
      </c>
      <c r="C3752">
        <v>39.700000000000003</v>
      </c>
    </row>
    <row r="3753" spans="1:3" x14ac:dyDescent="0.35">
      <c r="A3753" t="s">
        <v>74</v>
      </c>
      <c r="B3753">
        <v>1970</v>
      </c>
      <c r="C3753">
        <v>30.7</v>
      </c>
    </row>
    <row r="3754" spans="1:3" x14ac:dyDescent="0.35">
      <c r="A3754" t="s">
        <v>74</v>
      </c>
      <c r="B3754">
        <v>1971</v>
      </c>
      <c r="C3754">
        <v>29.7</v>
      </c>
    </row>
    <row r="3755" spans="1:3" x14ac:dyDescent="0.35">
      <c r="A3755" t="s">
        <v>74</v>
      </c>
      <c r="B3755">
        <v>1972</v>
      </c>
      <c r="C3755">
        <v>37.299999999999997</v>
      </c>
    </row>
    <row r="3756" spans="1:3" x14ac:dyDescent="0.35">
      <c r="A3756" t="s">
        <v>74</v>
      </c>
      <c r="B3756">
        <v>1973</v>
      </c>
      <c r="C3756">
        <v>49.2</v>
      </c>
    </row>
    <row r="3757" spans="1:3" x14ac:dyDescent="0.35">
      <c r="A3757" t="s">
        <v>74</v>
      </c>
      <c r="B3757">
        <v>1974</v>
      </c>
      <c r="C3757">
        <v>74.8</v>
      </c>
    </row>
    <row r="3758" spans="1:3" x14ac:dyDescent="0.35">
      <c r="A3758" t="s">
        <v>74</v>
      </c>
      <c r="B3758">
        <v>1975</v>
      </c>
      <c r="C3758">
        <v>102</v>
      </c>
    </row>
    <row r="3759" spans="1:3" x14ac:dyDescent="0.35">
      <c r="A3759" t="s">
        <v>74</v>
      </c>
      <c r="B3759">
        <v>1976</v>
      </c>
      <c r="C3759">
        <v>117</v>
      </c>
    </row>
    <row r="3760" spans="1:3" x14ac:dyDescent="0.35">
      <c r="A3760" t="s">
        <v>74</v>
      </c>
      <c r="B3760">
        <v>1977</v>
      </c>
      <c r="C3760">
        <v>205</v>
      </c>
    </row>
    <row r="3761" spans="1:3" x14ac:dyDescent="0.35">
      <c r="A3761" t="s">
        <v>74</v>
      </c>
      <c r="B3761">
        <v>1978</v>
      </c>
      <c r="C3761">
        <v>164</v>
      </c>
    </row>
    <row r="3762" spans="1:3" x14ac:dyDescent="0.35">
      <c r="A3762" t="s">
        <v>74</v>
      </c>
      <c r="B3762">
        <v>1979</v>
      </c>
      <c r="C3762">
        <v>186</v>
      </c>
    </row>
    <row r="3763" spans="1:3" x14ac:dyDescent="0.35">
      <c r="A3763" t="s">
        <v>74</v>
      </c>
      <c r="B3763">
        <v>1980</v>
      </c>
      <c r="C3763">
        <v>209</v>
      </c>
    </row>
    <row r="3764" spans="1:3" x14ac:dyDescent="0.35">
      <c r="A3764" t="s">
        <v>74</v>
      </c>
      <c r="B3764">
        <v>1981</v>
      </c>
      <c r="C3764">
        <v>234</v>
      </c>
    </row>
    <row r="3765" spans="1:3" x14ac:dyDescent="0.35">
      <c r="A3765" t="s">
        <v>74</v>
      </c>
      <c r="B3765">
        <v>1982</v>
      </c>
      <c r="C3765">
        <v>229</v>
      </c>
    </row>
    <row r="3766" spans="1:3" x14ac:dyDescent="0.35">
      <c r="A3766" t="s">
        <v>74</v>
      </c>
      <c r="B3766">
        <v>1983</v>
      </c>
      <c r="C3766">
        <v>200</v>
      </c>
    </row>
    <row r="3767" spans="1:3" x14ac:dyDescent="0.35">
      <c r="A3767" t="s">
        <v>74</v>
      </c>
      <c r="B3767">
        <v>1984</v>
      </c>
      <c r="C3767">
        <v>193</v>
      </c>
    </row>
    <row r="3768" spans="1:3" x14ac:dyDescent="0.35">
      <c r="A3768" t="s">
        <v>74</v>
      </c>
      <c r="B3768">
        <v>1985</v>
      </c>
      <c r="C3768">
        <v>284</v>
      </c>
    </row>
    <row r="3769" spans="1:3" x14ac:dyDescent="0.35">
      <c r="A3769" t="s">
        <v>74</v>
      </c>
      <c r="B3769">
        <v>1986</v>
      </c>
      <c r="C3769">
        <v>207</v>
      </c>
    </row>
    <row r="3770" spans="1:3" x14ac:dyDescent="0.35">
      <c r="A3770" t="s">
        <v>74</v>
      </c>
      <c r="B3770">
        <v>1987</v>
      </c>
      <c r="C3770">
        <v>207</v>
      </c>
    </row>
    <row r="3771" spans="1:3" x14ac:dyDescent="0.35">
      <c r="A3771" t="s">
        <v>74</v>
      </c>
      <c r="B3771">
        <v>1988</v>
      </c>
      <c r="C3771">
        <v>198</v>
      </c>
    </row>
    <row r="3772" spans="1:3" x14ac:dyDescent="0.35">
      <c r="A3772" t="s">
        <v>74</v>
      </c>
      <c r="B3772">
        <v>1989</v>
      </c>
      <c r="C3772">
        <v>189</v>
      </c>
    </row>
    <row r="3773" spans="1:3" x14ac:dyDescent="0.35">
      <c r="A3773" t="s">
        <v>74</v>
      </c>
      <c r="B3773">
        <v>1990</v>
      </c>
      <c r="C3773">
        <v>202</v>
      </c>
    </row>
    <row r="3774" spans="1:3" x14ac:dyDescent="0.35">
      <c r="A3774" t="s">
        <v>74</v>
      </c>
      <c r="B3774">
        <v>1991</v>
      </c>
      <c r="C3774">
        <v>209</v>
      </c>
    </row>
    <row r="3775" spans="1:3" x14ac:dyDescent="0.35">
      <c r="A3775" t="s">
        <v>74</v>
      </c>
      <c r="B3775">
        <v>1992</v>
      </c>
      <c r="C3775">
        <v>211</v>
      </c>
    </row>
    <row r="3776" spans="1:3" x14ac:dyDescent="0.35">
      <c r="A3776" t="s">
        <v>74</v>
      </c>
      <c r="B3776">
        <v>1993</v>
      </c>
      <c r="C3776">
        <v>276</v>
      </c>
    </row>
    <row r="3777" spans="1:3" x14ac:dyDescent="0.35">
      <c r="A3777" t="s">
        <v>74</v>
      </c>
      <c r="B3777">
        <v>1994</v>
      </c>
      <c r="C3777">
        <v>291</v>
      </c>
    </row>
    <row r="3778" spans="1:3" x14ac:dyDescent="0.35">
      <c r="A3778" t="s">
        <v>74</v>
      </c>
      <c r="B3778">
        <v>1995</v>
      </c>
      <c r="C3778">
        <v>475</v>
      </c>
    </row>
    <row r="3779" spans="1:3" x14ac:dyDescent="0.35">
      <c r="A3779" t="s">
        <v>74</v>
      </c>
      <c r="B3779">
        <v>1996</v>
      </c>
      <c r="C3779">
        <v>419</v>
      </c>
    </row>
    <row r="3780" spans="1:3" x14ac:dyDescent="0.35">
      <c r="A3780" t="s">
        <v>74</v>
      </c>
      <c r="B3780">
        <v>1997</v>
      </c>
      <c r="C3780">
        <v>499</v>
      </c>
    </row>
    <row r="3781" spans="1:3" x14ac:dyDescent="0.35">
      <c r="A3781" t="s">
        <v>74</v>
      </c>
      <c r="B3781">
        <v>1998</v>
      </c>
      <c r="C3781">
        <v>549</v>
      </c>
    </row>
    <row r="3782" spans="1:3" x14ac:dyDescent="0.35">
      <c r="A3782" t="s">
        <v>74</v>
      </c>
      <c r="B3782">
        <v>1999</v>
      </c>
      <c r="C3782">
        <v>296</v>
      </c>
    </row>
    <row r="3783" spans="1:3" x14ac:dyDescent="0.35">
      <c r="A3783" t="s">
        <v>74</v>
      </c>
      <c r="B3783">
        <v>2000</v>
      </c>
      <c r="C3783">
        <v>266</v>
      </c>
    </row>
    <row r="3784" spans="1:3" x14ac:dyDescent="0.35">
      <c r="A3784" t="s">
        <v>74</v>
      </c>
      <c r="B3784">
        <v>2001</v>
      </c>
      <c r="C3784">
        <v>384</v>
      </c>
    </row>
    <row r="3785" spans="1:3" x14ac:dyDescent="0.35">
      <c r="A3785" t="s">
        <v>74</v>
      </c>
      <c r="B3785">
        <v>2002</v>
      </c>
      <c r="C3785">
        <v>505</v>
      </c>
    </row>
    <row r="3786" spans="1:3" x14ac:dyDescent="0.35">
      <c r="A3786" t="s">
        <v>74</v>
      </c>
      <c r="B3786">
        <v>2003</v>
      </c>
      <c r="C3786">
        <v>739</v>
      </c>
    </row>
    <row r="3787" spans="1:3" x14ac:dyDescent="0.35">
      <c r="A3787" t="s">
        <v>74</v>
      </c>
      <c r="B3787">
        <v>2004</v>
      </c>
      <c r="C3787">
        <v>710</v>
      </c>
    </row>
    <row r="3788" spans="1:3" x14ac:dyDescent="0.35">
      <c r="A3788" t="s">
        <v>74</v>
      </c>
      <c r="B3788">
        <v>2005</v>
      </c>
      <c r="C3788">
        <v>954</v>
      </c>
    </row>
    <row r="3789" spans="1:3" x14ac:dyDescent="0.35">
      <c r="A3789" t="s">
        <v>74</v>
      </c>
      <c r="B3789">
        <v>2006</v>
      </c>
      <c r="C3789">
        <v>950</v>
      </c>
    </row>
    <row r="3790" spans="1:3" x14ac:dyDescent="0.35">
      <c r="A3790" t="s">
        <v>74</v>
      </c>
      <c r="B3790">
        <v>2007</v>
      </c>
      <c r="C3790">
        <v>1310</v>
      </c>
    </row>
    <row r="3791" spans="1:3" x14ac:dyDescent="0.35">
      <c r="A3791" t="s">
        <v>74</v>
      </c>
      <c r="B3791">
        <v>2008</v>
      </c>
      <c r="C3791">
        <v>1646</v>
      </c>
    </row>
    <row r="3792" spans="1:3" x14ac:dyDescent="0.35">
      <c r="A3792" t="s">
        <v>74</v>
      </c>
      <c r="B3792">
        <v>2009</v>
      </c>
      <c r="C3792">
        <v>1949</v>
      </c>
    </row>
    <row r="3793" spans="1:3" x14ac:dyDescent="0.35">
      <c r="A3793" t="s">
        <v>74</v>
      </c>
      <c r="B3793">
        <v>2010</v>
      </c>
      <c r="C3793">
        <v>2094</v>
      </c>
    </row>
    <row r="3794" spans="1:3" x14ac:dyDescent="0.35">
      <c r="A3794" t="s">
        <v>74</v>
      </c>
      <c r="B3794">
        <v>2011</v>
      </c>
      <c r="C3794">
        <v>2453.6999999999998</v>
      </c>
    </row>
    <row r="3795" spans="1:3" x14ac:dyDescent="0.35">
      <c r="A3795" t="s">
        <v>74</v>
      </c>
      <c r="B3795">
        <v>2012</v>
      </c>
      <c r="C3795">
        <v>2589.7759999999998</v>
      </c>
    </row>
    <row r="3796" spans="1:3" x14ac:dyDescent="0.35">
      <c r="A3796" t="s">
        <v>74</v>
      </c>
      <c r="B3796">
        <v>2013</v>
      </c>
      <c r="C3796">
        <v>2735.8249999999998</v>
      </c>
    </row>
    <row r="3797" spans="1:3" x14ac:dyDescent="0.35">
      <c r="A3797" t="s">
        <v>74</v>
      </c>
      <c r="B3797">
        <v>2014</v>
      </c>
      <c r="C3797">
        <v>2786.5189999999998</v>
      </c>
    </row>
    <row r="3798" spans="1:3" x14ac:dyDescent="0.35">
      <c r="A3798" t="s">
        <v>74</v>
      </c>
      <c r="B3798">
        <v>2015</v>
      </c>
      <c r="C3798">
        <v>2597.5100000000002</v>
      </c>
    </row>
    <row r="3799" spans="1:3" x14ac:dyDescent="0.35">
      <c r="A3799" t="s">
        <v>74</v>
      </c>
      <c r="B3799">
        <v>2016</v>
      </c>
      <c r="C3799">
        <v>2513.1999999999998</v>
      </c>
    </row>
    <row r="3800" spans="1:3" x14ac:dyDescent="0.35">
      <c r="A3800" t="s">
        <v>74</v>
      </c>
      <c r="B3800">
        <v>2017</v>
      </c>
      <c r="C3800">
        <v>2462.6999999999998</v>
      </c>
    </row>
    <row r="3801" spans="1:3" x14ac:dyDescent="0.35">
      <c r="A3801" t="s">
        <v>74</v>
      </c>
      <c r="B3801">
        <v>2018</v>
      </c>
      <c r="C3801">
        <v>2549.4</v>
      </c>
    </row>
    <row r="3802" spans="1:3" x14ac:dyDescent="0.35">
      <c r="A3802" t="s">
        <v>74</v>
      </c>
      <c r="B3802">
        <v>2019</v>
      </c>
      <c r="C3802">
        <v>2346</v>
      </c>
    </row>
    <row r="3803" spans="1:3" x14ac:dyDescent="0.35">
      <c r="A3803" t="s">
        <v>74</v>
      </c>
      <c r="B3803">
        <v>2020</v>
      </c>
      <c r="C3803">
        <v>2356.3000000000002</v>
      </c>
    </row>
    <row r="3804" spans="1:3" x14ac:dyDescent="0.35">
      <c r="A3804" t="s">
        <v>74</v>
      </c>
      <c r="B3804">
        <v>2021</v>
      </c>
      <c r="C3804">
        <v>2408.81</v>
      </c>
    </row>
    <row r="3805" spans="1:3" x14ac:dyDescent="0.35">
      <c r="A3805" t="s">
        <v>74</v>
      </c>
      <c r="B3805">
        <v>2022</v>
      </c>
      <c r="C3805">
        <v>2586.48</v>
      </c>
    </row>
    <row r="3806" spans="1:3" x14ac:dyDescent="0.35">
      <c r="A3806" t="s">
        <v>74</v>
      </c>
      <c r="B3806">
        <v>2023</v>
      </c>
      <c r="C3806">
        <v>2692</v>
      </c>
    </row>
    <row r="3807" spans="1:3" x14ac:dyDescent="0.35">
      <c r="A3807" t="s">
        <v>74</v>
      </c>
      <c r="B3807">
        <v>2024</v>
      </c>
      <c r="C3807">
        <v>2882.2</v>
      </c>
    </row>
    <row r="3808" spans="1:3" x14ac:dyDescent="0.35">
      <c r="A3808" t="s">
        <v>74</v>
      </c>
      <c r="B3808">
        <v>2025</v>
      </c>
      <c r="C3808">
        <v>2735.6</v>
      </c>
    </row>
    <row r="3809" spans="1:3" x14ac:dyDescent="0.35">
      <c r="A3809" t="s">
        <v>75</v>
      </c>
      <c r="B3809">
        <v>1973</v>
      </c>
      <c r="C3809">
        <v>5.0328082120236637</v>
      </c>
    </row>
    <row r="3810" spans="1:3" x14ac:dyDescent="0.35">
      <c r="A3810" t="s">
        <v>75</v>
      </c>
      <c r="B3810">
        <v>1974</v>
      </c>
      <c r="C3810">
        <v>11.136757586916108</v>
      </c>
    </row>
    <row r="3811" spans="1:3" x14ac:dyDescent="0.35">
      <c r="A3811" t="s">
        <v>75</v>
      </c>
      <c r="B3811">
        <v>1975</v>
      </c>
      <c r="C3811">
        <v>32.436379692448781</v>
      </c>
    </row>
    <row r="3812" spans="1:3" x14ac:dyDescent="0.35">
      <c r="A3812" t="s">
        <v>75</v>
      </c>
      <c r="B3812">
        <v>1976</v>
      </c>
      <c r="C3812">
        <v>34</v>
      </c>
    </row>
    <row r="3813" spans="1:3" x14ac:dyDescent="0.35">
      <c r="A3813" t="s">
        <v>75</v>
      </c>
      <c r="B3813">
        <v>1977</v>
      </c>
      <c r="C3813">
        <v>24.274509803921568</v>
      </c>
    </row>
    <row r="3814" spans="1:3" x14ac:dyDescent="0.35">
      <c r="A3814" t="s">
        <v>75</v>
      </c>
      <c r="B3814">
        <v>1978</v>
      </c>
      <c r="C3814">
        <v>17.333333333333336</v>
      </c>
    </row>
    <row r="3815" spans="1:3" x14ac:dyDescent="0.35">
      <c r="A3815" t="s">
        <v>75</v>
      </c>
      <c r="B3815">
        <v>1979</v>
      </c>
      <c r="C3815">
        <v>17.176470588235297</v>
      </c>
    </row>
    <row r="3816" spans="1:3" x14ac:dyDescent="0.35">
      <c r="A3816" t="s">
        <v>75</v>
      </c>
      <c r="B3816">
        <v>1980</v>
      </c>
      <c r="C3816">
        <v>21.882352941176471</v>
      </c>
    </row>
    <row r="3817" spans="1:3" x14ac:dyDescent="0.35">
      <c r="A3817" t="s">
        <v>75</v>
      </c>
      <c r="B3817">
        <v>1981</v>
      </c>
      <c r="C3817">
        <v>22.4</v>
      </c>
    </row>
    <row r="3818" spans="1:3" x14ac:dyDescent="0.35">
      <c r="A3818" t="s">
        <v>75</v>
      </c>
      <c r="B3818">
        <v>1982</v>
      </c>
      <c r="C3818">
        <v>24.71</v>
      </c>
    </row>
    <row r="3819" spans="1:3" x14ac:dyDescent="0.35">
      <c r="A3819" t="s">
        <v>75</v>
      </c>
      <c r="B3819">
        <v>1983</v>
      </c>
      <c r="C3819">
        <v>22.1</v>
      </c>
    </row>
    <row r="3820" spans="1:3" x14ac:dyDescent="0.35">
      <c r="A3820" t="s">
        <v>75</v>
      </c>
      <c r="B3820">
        <v>1984</v>
      </c>
      <c r="C3820">
        <v>20.740845136588916</v>
      </c>
    </row>
    <row r="3821" spans="1:3" x14ac:dyDescent="0.35">
      <c r="A3821" t="s">
        <v>75</v>
      </c>
      <c r="B3821">
        <v>1985</v>
      </c>
      <c r="C3821">
        <v>38.971271328950927</v>
      </c>
    </row>
    <row r="3822" spans="1:3" x14ac:dyDescent="0.35">
      <c r="A3822" t="s">
        <v>75</v>
      </c>
      <c r="B3822">
        <v>1986</v>
      </c>
      <c r="C3822">
        <v>27.829660941574094</v>
      </c>
    </row>
    <row r="3823" spans="1:3" x14ac:dyDescent="0.35">
      <c r="A3823" t="s">
        <v>75</v>
      </c>
      <c r="B3823">
        <v>1987</v>
      </c>
      <c r="C3823">
        <v>10.619291234062095</v>
      </c>
    </row>
    <row r="3824" spans="1:3" x14ac:dyDescent="0.35">
      <c r="A3824" t="s">
        <v>75</v>
      </c>
      <c r="B3824">
        <v>1988</v>
      </c>
      <c r="C3824">
        <v>11.02</v>
      </c>
    </row>
    <row r="3825" spans="1:3" x14ac:dyDescent="0.35">
      <c r="A3825" t="s">
        <v>75</v>
      </c>
      <c r="B3825">
        <v>1989</v>
      </c>
      <c r="C3825">
        <v>6.0238302134114914</v>
      </c>
    </row>
    <row r="3826" spans="1:3" x14ac:dyDescent="0.35">
      <c r="A3826" t="s">
        <v>75</v>
      </c>
      <c r="B3826">
        <v>1990</v>
      </c>
      <c r="C3826">
        <v>3.5893284901589295</v>
      </c>
    </row>
    <row r="3827" spans="1:3" x14ac:dyDescent="0.35">
      <c r="A3827" t="s">
        <v>75</v>
      </c>
      <c r="B3827">
        <v>1991</v>
      </c>
      <c r="C3827">
        <v>2.0313743728255718</v>
      </c>
    </row>
    <row r="3828" spans="1:3" x14ac:dyDescent="0.35">
      <c r="A3828" t="s">
        <v>75</v>
      </c>
      <c r="B3828">
        <v>1992</v>
      </c>
      <c r="C3828">
        <v>3.6253499944000898</v>
      </c>
    </row>
    <row r="3829" spans="1:3" x14ac:dyDescent="0.35">
      <c r="A3829" t="s">
        <v>75</v>
      </c>
      <c r="B3829">
        <v>1993</v>
      </c>
      <c r="C3829">
        <v>4.4365264736053023</v>
      </c>
    </row>
    <row r="3830" spans="1:3" x14ac:dyDescent="0.35">
      <c r="A3830" t="s">
        <v>75</v>
      </c>
      <c r="B3830">
        <v>1994</v>
      </c>
      <c r="C3830">
        <v>5.4855521006580377</v>
      </c>
    </row>
    <row r="3831" spans="1:3" x14ac:dyDescent="0.35">
      <c r="A3831" t="s">
        <v>75</v>
      </c>
      <c r="B3831">
        <v>1995</v>
      </c>
      <c r="C3831">
        <v>5.6915606138503678</v>
      </c>
    </row>
    <row r="3832" spans="1:3" x14ac:dyDescent="0.35">
      <c r="A3832" t="s">
        <v>75</v>
      </c>
      <c r="B3832">
        <v>1996</v>
      </c>
      <c r="C3832">
        <v>5.5583401602849509</v>
      </c>
    </row>
    <row r="3833" spans="1:3" x14ac:dyDescent="0.35">
      <c r="A3833" t="s">
        <v>75</v>
      </c>
      <c r="B3833">
        <v>2000</v>
      </c>
      <c r="C3833">
        <v>12.585649290138683</v>
      </c>
    </row>
    <row r="3834" spans="1:3" x14ac:dyDescent="0.35">
      <c r="A3834" t="s">
        <v>75</v>
      </c>
      <c r="B3834">
        <v>2001</v>
      </c>
      <c r="C3834">
        <v>14.371052898500436</v>
      </c>
    </row>
    <row r="3835" spans="1:3" x14ac:dyDescent="0.35">
      <c r="A3835" t="s">
        <v>75</v>
      </c>
      <c r="B3835">
        <v>2002</v>
      </c>
      <c r="C3835">
        <v>16.65224346366664</v>
      </c>
    </row>
    <row r="3836" spans="1:3" x14ac:dyDescent="0.35">
      <c r="A3836" t="s">
        <v>75</v>
      </c>
      <c r="B3836">
        <v>2003</v>
      </c>
      <c r="C3836">
        <v>16.345330568708157</v>
      </c>
    </row>
    <row r="3837" spans="1:3" x14ac:dyDescent="0.35">
      <c r="A3837" t="s">
        <v>75</v>
      </c>
      <c r="B3837">
        <v>2004</v>
      </c>
      <c r="C3837">
        <v>22.132238739738185</v>
      </c>
    </row>
    <row r="3838" spans="1:3" x14ac:dyDescent="0.35">
      <c r="A3838" t="s">
        <v>75</v>
      </c>
      <c r="B3838">
        <v>2005</v>
      </c>
      <c r="C3838">
        <v>18.506566604127578</v>
      </c>
    </row>
    <row r="3839" spans="1:3" x14ac:dyDescent="0.35">
      <c r="A3839" t="s">
        <v>75</v>
      </c>
      <c r="B3839">
        <v>2006</v>
      </c>
      <c r="C3839">
        <v>19.176973644773916</v>
      </c>
    </row>
    <row r="3840" spans="1:3" x14ac:dyDescent="0.35">
      <c r="A3840" t="s">
        <v>75</v>
      </c>
      <c r="B3840">
        <v>2007</v>
      </c>
      <c r="C3840">
        <v>24.971954118420335</v>
      </c>
    </row>
    <row r="3841" spans="1:3" x14ac:dyDescent="0.35">
      <c r="A3841" t="s">
        <v>75</v>
      </c>
      <c r="B3841">
        <v>2008</v>
      </c>
      <c r="C3841">
        <v>30.52059342051632</v>
      </c>
    </row>
    <row r="3842" spans="1:3" x14ac:dyDescent="0.35">
      <c r="A3842" t="s">
        <v>75</v>
      </c>
      <c r="B3842">
        <v>2009</v>
      </c>
      <c r="C3842">
        <v>31.055650894827163</v>
      </c>
    </row>
    <row r="3843" spans="1:3" x14ac:dyDescent="0.35">
      <c r="A3843" t="s">
        <v>75</v>
      </c>
      <c r="B3843">
        <v>2010</v>
      </c>
      <c r="C3843">
        <v>31.07505549117052</v>
      </c>
    </row>
    <row r="3844" spans="1:3" x14ac:dyDescent="0.35">
      <c r="A3844" t="s">
        <v>75</v>
      </c>
      <c r="B3844">
        <v>2011</v>
      </c>
      <c r="C3844">
        <v>32.416747541883559</v>
      </c>
    </row>
    <row r="3845" spans="1:3" x14ac:dyDescent="0.35">
      <c r="A3845" t="s">
        <v>75</v>
      </c>
      <c r="B3845">
        <v>2012</v>
      </c>
      <c r="C3845">
        <v>33.542606602139386</v>
      </c>
    </row>
    <row r="3846" spans="1:3" x14ac:dyDescent="0.35">
      <c r="A3846" t="s">
        <v>75</v>
      </c>
      <c r="B3846">
        <v>2013</v>
      </c>
      <c r="C3846">
        <v>35.163485788289826</v>
      </c>
    </row>
    <row r="3847" spans="1:3" x14ac:dyDescent="0.35">
      <c r="A3847" t="s">
        <v>75</v>
      </c>
      <c r="B3847">
        <v>2014</v>
      </c>
      <c r="C3847">
        <v>39.280967469796778</v>
      </c>
    </row>
    <row r="3848" spans="1:3" x14ac:dyDescent="0.35">
      <c r="A3848" t="s">
        <v>75</v>
      </c>
      <c r="B3848">
        <v>2015</v>
      </c>
      <c r="C3848">
        <v>46.430508474576271</v>
      </c>
    </row>
    <row r="3849" spans="1:3" x14ac:dyDescent="0.35">
      <c r="A3849" t="s">
        <v>75</v>
      </c>
      <c r="B3849">
        <v>2016</v>
      </c>
      <c r="C3849">
        <v>51.562130823215341</v>
      </c>
    </row>
    <row r="3850" spans="1:3" x14ac:dyDescent="0.35">
      <c r="A3850" t="s">
        <v>75</v>
      </c>
      <c r="B3850">
        <v>2017</v>
      </c>
      <c r="C3850">
        <v>59.510895883777238</v>
      </c>
    </row>
    <row r="3851" spans="1:3" x14ac:dyDescent="0.35">
      <c r="A3851" t="s">
        <v>75</v>
      </c>
      <c r="B3851">
        <v>2018</v>
      </c>
      <c r="C3851">
        <v>61.799566717483955</v>
      </c>
    </row>
    <row r="3852" spans="1:3" x14ac:dyDescent="0.35">
      <c r="A3852" t="s">
        <v>75</v>
      </c>
      <c r="B3852">
        <v>2019</v>
      </c>
      <c r="C3852">
        <v>67.238848920863319</v>
      </c>
    </row>
    <row r="3853" spans="1:3" x14ac:dyDescent="0.35">
      <c r="A3853" t="s">
        <v>75</v>
      </c>
      <c r="B3853">
        <v>2020</v>
      </c>
      <c r="C3853">
        <v>76.738609112709838</v>
      </c>
    </row>
    <row r="3854" spans="1:3" x14ac:dyDescent="0.35">
      <c r="A3854" t="s">
        <v>75</v>
      </c>
      <c r="B3854">
        <v>2021</v>
      </c>
      <c r="C3854">
        <v>76.789448441247004</v>
      </c>
    </row>
    <row r="3855" spans="1:3" x14ac:dyDescent="0.35">
      <c r="A3855" t="s">
        <v>75</v>
      </c>
      <c r="B3855">
        <v>2022</v>
      </c>
      <c r="C3855">
        <v>88.515539568345318</v>
      </c>
    </row>
    <row r="3856" spans="1:3" x14ac:dyDescent="0.35">
      <c r="A3856" t="s">
        <v>75</v>
      </c>
      <c r="B3856">
        <v>2023</v>
      </c>
      <c r="C3856">
        <v>110.59856115107914</v>
      </c>
    </row>
    <row r="3857" spans="1:3" x14ac:dyDescent="0.35">
      <c r="A3857" t="s">
        <v>75</v>
      </c>
      <c r="B3857">
        <v>2024</v>
      </c>
      <c r="C3857">
        <v>206.62065227817746</v>
      </c>
    </row>
    <row r="3858" spans="1:3" x14ac:dyDescent="0.35">
      <c r="A3858" t="s">
        <v>75</v>
      </c>
      <c r="B3858">
        <v>2025</v>
      </c>
      <c r="C3858">
        <v>247.64380340654924</v>
      </c>
    </row>
    <row r="3859" spans="1:3" x14ac:dyDescent="0.35">
      <c r="A3859" t="s">
        <v>76</v>
      </c>
      <c r="B3859">
        <v>1960</v>
      </c>
      <c r="C3859">
        <v>7.0885415940610983</v>
      </c>
    </row>
    <row r="3860" spans="1:3" x14ac:dyDescent="0.35">
      <c r="A3860" t="s">
        <v>76</v>
      </c>
      <c r="B3860">
        <v>1961</v>
      </c>
      <c r="C3860">
        <v>7.1874613157632012</v>
      </c>
    </row>
    <row r="3861" spans="1:3" x14ac:dyDescent="0.35">
      <c r="A3861" t="s">
        <v>76</v>
      </c>
      <c r="B3861">
        <v>1962</v>
      </c>
      <c r="C3861">
        <v>8.2768109214335635</v>
      </c>
    </row>
    <row r="3862" spans="1:3" x14ac:dyDescent="0.35">
      <c r="A3862" t="s">
        <v>76</v>
      </c>
      <c r="B3862">
        <v>1963</v>
      </c>
      <c r="C3862">
        <v>9.2089348108216047</v>
      </c>
    </row>
    <row r="3863" spans="1:3" x14ac:dyDescent="0.35">
      <c r="A3863" t="s">
        <v>76</v>
      </c>
      <c r="B3863">
        <v>1964</v>
      </c>
      <c r="C3863">
        <v>9.8153768593391231</v>
      </c>
    </row>
    <row r="3864" spans="1:3" x14ac:dyDescent="0.35">
      <c r="A3864" t="s">
        <v>76</v>
      </c>
      <c r="B3864">
        <v>1965</v>
      </c>
      <c r="C3864">
        <v>11.679624638115204</v>
      </c>
    </row>
    <row r="3865" spans="1:3" x14ac:dyDescent="0.35">
      <c r="A3865" t="s">
        <v>76</v>
      </c>
      <c r="B3865">
        <v>1966</v>
      </c>
      <c r="C3865">
        <v>13.588794050114803</v>
      </c>
    </row>
    <row r="3866" spans="1:3" x14ac:dyDescent="0.35">
      <c r="A3866" t="s">
        <v>76</v>
      </c>
      <c r="B3866">
        <v>1967</v>
      </c>
      <c r="C3866">
        <v>14.936443046820406</v>
      </c>
    </row>
    <row r="3867" spans="1:3" x14ac:dyDescent="0.35">
      <c r="A3867" t="s">
        <v>76</v>
      </c>
      <c r="B3867">
        <v>1968</v>
      </c>
      <c r="C3867">
        <v>16.621004292702409</v>
      </c>
    </row>
    <row r="3868" spans="1:3" x14ac:dyDescent="0.35">
      <c r="A3868" t="s">
        <v>76</v>
      </c>
      <c r="B3868">
        <v>1969</v>
      </c>
      <c r="C3868">
        <v>17.856349206349204</v>
      </c>
    </row>
    <row r="3869" spans="1:3" x14ac:dyDescent="0.35">
      <c r="A3869" t="s">
        <v>76</v>
      </c>
      <c r="B3869">
        <v>1970</v>
      </c>
      <c r="C3869">
        <v>19.316666666666666</v>
      </c>
    </row>
    <row r="3870" spans="1:3" x14ac:dyDescent="0.35">
      <c r="A3870" t="s">
        <v>76</v>
      </c>
      <c r="B3870">
        <v>1971</v>
      </c>
      <c r="C3870">
        <v>20.75</v>
      </c>
    </row>
    <row r="3871" spans="1:3" x14ac:dyDescent="0.35">
      <c r="A3871" t="s">
        <v>76</v>
      </c>
      <c r="B3871">
        <v>1972</v>
      </c>
      <c r="C3871">
        <v>28.851587301587301</v>
      </c>
    </row>
    <row r="3872" spans="1:3" x14ac:dyDescent="0.35">
      <c r="A3872" t="s">
        <v>76</v>
      </c>
      <c r="B3872">
        <v>1973</v>
      </c>
      <c r="C3872">
        <v>30.915873015873014</v>
      </c>
    </row>
    <row r="3873" spans="1:3" x14ac:dyDescent="0.35">
      <c r="A3873" t="s">
        <v>76</v>
      </c>
      <c r="B3873">
        <v>1974</v>
      </c>
      <c r="C3873">
        <v>31.43412698412698</v>
      </c>
    </row>
    <row r="3874" spans="1:3" x14ac:dyDescent="0.35">
      <c r="A3874" t="s">
        <v>76</v>
      </c>
      <c r="B3874">
        <v>1975</v>
      </c>
      <c r="C3874">
        <v>43.488888888888887</v>
      </c>
    </row>
    <row r="3875" spans="1:3" x14ac:dyDescent="0.35">
      <c r="A3875" t="s">
        <v>76</v>
      </c>
      <c r="B3875">
        <v>1976</v>
      </c>
      <c r="C3875">
        <v>46.757936507936506</v>
      </c>
    </row>
    <row r="3876" spans="1:3" x14ac:dyDescent="0.35">
      <c r="A3876" t="s">
        <v>76</v>
      </c>
      <c r="B3876">
        <v>1977</v>
      </c>
      <c r="C3876">
        <v>55.486507936507934</v>
      </c>
    </row>
    <row r="3877" spans="1:3" x14ac:dyDescent="0.35">
      <c r="A3877" t="s">
        <v>76</v>
      </c>
      <c r="B3877">
        <v>1978</v>
      </c>
      <c r="C3877">
        <v>69.522222222222211</v>
      </c>
    </row>
    <row r="3878" spans="1:3" x14ac:dyDescent="0.35">
      <c r="A3878" t="s">
        <v>76</v>
      </c>
      <c r="B3878">
        <v>1979</v>
      </c>
      <c r="C3878">
        <v>63.530158730158725</v>
      </c>
    </row>
    <row r="3879" spans="1:3" x14ac:dyDescent="0.35">
      <c r="A3879" t="s">
        <v>76</v>
      </c>
      <c r="B3879">
        <v>1980</v>
      </c>
      <c r="C3879">
        <v>89.326190476190476</v>
      </c>
    </row>
    <row r="3880" spans="1:3" x14ac:dyDescent="0.35">
      <c r="A3880" t="s">
        <v>76</v>
      </c>
      <c r="B3880">
        <v>1981</v>
      </c>
      <c r="C3880">
        <v>131.94206349206348</v>
      </c>
    </row>
    <row r="3881" spans="1:3" x14ac:dyDescent="0.35">
      <c r="A3881" t="s">
        <v>76</v>
      </c>
      <c r="B3881">
        <v>1982</v>
      </c>
      <c r="C3881">
        <v>208.02619047619044</v>
      </c>
    </row>
    <row r="3882" spans="1:3" x14ac:dyDescent="0.35">
      <c r="A3882" t="s">
        <v>76</v>
      </c>
      <c r="B3882">
        <v>1983</v>
      </c>
      <c r="C3882">
        <v>221.22133492063492</v>
      </c>
    </row>
    <row r="3883" spans="1:3" x14ac:dyDescent="0.35">
      <c r="A3883" t="s">
        <v>76</v>
      </c>
      <c r="B3883">
        <v>1984</v>
      </c>
      <c r="C3883">
        <v>172.99751243781097</v>
      </c>
    </row>
    <row r="3884" spans="1:3" x14ac:dyDescent="0.35">
      <c r="A3884" t="s">
        <v>76</v>
      </c>
      <c r="B3884">
        <v>1985</v>
      </c>
      <c r="C3884">
        <v>158.36330612684122</v>
      </c>
    </row>
    <row r="3885" spans="1:3" x14ac:dyDescent="0.35">
      <c r="A3885" t="s">
        <v>76</v>
      </c>
      <c r="B3885">
        <v>1986</v>
      </c>
      <c r="C3885">
        <v>191.43534931169603</v>
      </c>
    </row>
    <row r="3886" spans="1:3" x14ac:dyDescent="0.35">
      <c r="A3886" t="s">
        <v>76</v>
      </c>
      <c r="B3886">
        <v>1987</v>
      </c>
      <c r="C3886">
        <v>116.92283090909091</v>
      </c>
    </row>
    <row r="3887" spans="1:3" x14ac:dyDescent="0.35">
      <c r="A3887" t="s">
        <v>76</v>
      </c>
      <c r="B3887">
        <v>1988</v>
      </c>
      <c r="C3887">
        <v>178.43581818181815</v>
      </c>
    </row>
    <row r="3888" spans="1:3" x14ac:dyDescent="0.35">
      <c r="A3888" t="s">
        <v>76</v>
      </c>
      <c r="B3888">
        <v>1989</v>
      </c>
      <c r="C3888">
        <v>98.142356705989286</v>
      </c>
    </row>
    <row r="3889" spans="1:3" x14ac:dyDescent="0.35">
      <c r="A3889" t="s">
        <v>76</v>
      </c>
      <c r="B3889">
        <v>1990</v>
      </c>
      <c r="C3889">
        <v>112.23425569803466</v>
      </c>
    </row>
    <row r="3890" spans="1:3" x14ac:dyDescent="0.35">
      <c r="A3890" t="s">
        <v>76</v>
      </c>
      <c r="B3890">
        <v>1991</v>
      </c>
      <c r="C3890">
        <v>197.61349680798079</v>
      </c>
    </row>
    <row r="3891" spans="1:3" x14ac:dyDescent="0.35">
      <c r="A3891" t="s">
        <v>76</v>
      </c>
      <c r="B3891">
        <v>1992</v>
      </c>
      <c r="C3891">
        <v>169.55628520533583</v>
      </c>
    </row>
    <row r="3892" spans="1:3" x14ac:dyDescent="0.35">
      <c r="A3892" t="s">
        <v>76</v>
      </c>
      <c r="B3892">
        <v>1993</v>
      </c>
      <c r="C3892">
        <v>157.93049927386545</v>
      </c>
    </row>
    <row r="3893" spans="1:3" x14ac:dyDescent="0.35">
      <c r="A3893" t="s">
        <v>76</v>
      </c>
      <c r="B3893">
        <v>1994</v>
      </c>
      <c r="C3893">
        <v>161.10027227882867</v>
      </c>
    </row>
    <row r="3894" spans="1:3" x14ac:dyDescent="0.35">
      <c r="A3894" t="s">
        <v>76</v>
      </c>
      <c r="B3894">
        <v>1995</v>
      </c>
      <c r="C3894">
        <v>206.92640931129355</v>
      </c>
    </row>
    <row r="3895" spans="1:3" x14ac:dyDescent="0.35">
      <c r="A3895" t="s">
        <v>76</v>
      </c>
      <c r="B3895">
        <v>1996</v>
      </c>
      <c r="C3895">
        <v>202.01222483722177</v>
      </c>
    </row>
    <row r="3896" spans="1:3" x14ac:dyDescent="0.35">
      <c r="A3896" t="s">
        <v>76</v>
      </c>
      <c r="B3896">
        <v>1997</v>
      </c>
      <c r="C3896">
        <v>167.98210686548799</v>
      </c>
    </row>
    <row r="3897" spans="1:3" x14ac:dyDescent="0.35">
      <c r="A3897" t="s">
        <v>76</v>
      </c>
      <c r="B3897">
        <v>1998</v>
      </c>
      <c r="C3897">
        <v>139.26298803966685</v>
      </c>
    </row>
    <row r="3898" spans="1:3" x14ac:dyDescent="0.35">
      <c r="A3898" t="s">
        <v>76</v>
      </c>
      <c r="B3898">
        <v>1999</v>
      </c>
      <c r="C3898">
        <v>116.55325485737005</v>
      </c>
    </row>
    <row r="3899" spans="1:3" x14ac:dyDescent="0.35">
      <c r="A3899" t="s">
        <v>76</v>
      </c>
      <c r="B3899">
        <v>2000</v>
      </c>
      <c r="C3899">
        <v>110.24816719870037</v>
      </c>
    </row>
    <row r="3900" spans="1:3" x14ac:dyDescent="0.35">
      <c r="A3900" t="s">
        <v>76</v>
      </c>
      <c r="B3900">
        <v>2001</v>
      </c>
      <c r="C3900">
        <v>91.298893925082126</v>
      </c>
    </row>
    <row r="3901" spans="1:3" x14ac:dyDescent="0.35">
      <c r="A3901" t="s">
        <v>76</v>
      </c>
      <c r="B3901">
        <v>2002</v>
      </c>
      <c r="C3901">
        <v>69.892741293342695</v>
      </c>
    </row>
    <row r="3902" spans="1:3" x14ac:dyDescent="0.35">
      <c r="A3902" t="s">
        <v>76</v>
      </c>
      <c r="B3902">
        <v>2003</v>
      </c>
      <c r="C3902">
        <v>63.51188005691786</v>
      </c>
    </row>
    <row r="3903" spans="1:3" x14ac:dyDescent="0.35">
      <c r="A3903" t="s">
        <v>76</v>
      </c>
      <c r="B3903">
        <v>2004</v>
      </c>
      <c r="C3903">
        <v>84.466986260380182</v>
      </c>
    </row>
    <row r="3904" spans="1:3" x14ac:dyDescent="0.35">
      <c r="A3904" t="s">
        <v>76</v>
      </c>
      <c r="B3904">
        <v>2005</v>
      </c>
      <c r="C3904">
        <v>77.468937966577968</v>
      </c>
    </row>
    <row r="3905" spans="1:3" x14ac:dyDescent="0.35">
      <c r="A3905" t="s">
        <v>76</v>
      </c>
      <c r="B3905">
        <v>2006</v>
      </c>
      <c r="C3905">
        <v>106.55740613898422</v>
      </c>
    </row>
    <row r="3906" spans="1:3" x14ac:dyDescent="0.35">
      <c r="A3906" t="s">
        <v>76</v>
      </c>
      <c r="B3906">
        <v>2007</v>
      </c>
      <c r="C3906">
        <v>132.39361617574593</v>
      </c>
    </row>
    <row r="3907" spans="1:3" x14ac:dyDescent="0.35">
      <c r="A3907" t="s">
        <v>76</v>
      </c>
      <c r="B3907">
        <v>2008</v>
      </c>
      <c r="C3907">
        <v>168.1548573995471</v>
      </c>
    </row>
    <row r="3908" spans="1:3" x14ac:dyDescent="0.35">
      <c r="A3908" t="s">
        <v>76</v>
      </c>
      <c r="B3908">
        <v>2009</v>
      </c>
      <c r="C3908">
        <v>168.48626190490575</v>
      </c>
    </row>
    <row r="3909" spans="1:3" x14ac:dyDescent="0.35">
      <c r="A3909" t="s">
        <v>76</v>
      </c>
      <c r="B3909">
        <v>2010</v>
      </c>
      <c r="C3909">
        <v>204.60525482212921</v>
      </c>
    </row>
    <row r="3910" spans="1:3" x14ac:dyDescent="0.35">
      <c r="A3910" t="s">
        <v>76</v>
      </c>
      <c r="B3910">
        <v>2011</v>
      </c>
      <c r="C3910">
        <v>285.10624084439166</v>
      </c>
    </row>
    <row r="3911" spans="1:3" x14ac:dyDescent="0.35">
      <c r="A3911" t="s">
        <v>76</v>
      </c>
      <c r="B3911">
        <v>2012</v>
      </c>
      <c r="C3911">
        <v>320.9097565605706</v>
      </c>
    </row>
    <row r="3912" spans="1:3" x14ac:dyDescent="0.35">
      <c r="A3912" t="s">
        <v>76</v>
      </c>
      <c r="B3912">
        <v>2013</v>
      </c>
      <c r="C3912">
        <v>371.21557536215448</v>
      </c>
    </row>
    <row r="3913" spans="1:3" x14ac:dyDescent="0.35">
      <c r="A3913" t="s">
        <v>76</v>
      </c>
      <c r="B3913">
        <v>2014</v>
      </c>
      <c r="C3913">
        <v>398.37083047754902</v>
      </c>
    </row>
    <row r="3914" spans="1:3" x14ac:dyDescent="0.35">
      <c r="A3914" t="s">
        <v>76</v>
      </c>
      <c r="B3914">
        <v>2015</v>
      </c>
      <c r="C3914">
        <v>386.53886426470393</v>
      </c>
    </row>
    <row r="3915" spans="1:3" x14ac:dyDescent="0.35">
      <c r="A3915" t="s">
        <v>76</v>
      </c>
      <c r="B3915">
        <v>2016</v>
      </c>
      <c r="C3915">
        <v>343.19477365680132</v>
      </c>
    </row>
    <row r="3916" spans="1:3" x14ac:dyDescent="0.35">
      <c r="A3916" t="s">
        <v>76</v>
      </c>
      <c r="B3916">
        <v>2017</v>
      </c>
      <c r="C3916">
        <v>348.11303903734972</v>
      </c>
    </row>
    <row r="3917" spans="1:3" x14ac:dyDescent="0.35">
      <c r="A3917" t="s">
        <v>76</v>
      </c>
      <c r="B3917">
        <v>2018</v>
      </c>
      <c r="C3917">
        <v>386.62937468315261</v>
      </c>
    </row>
    <row r="3918" spans="1:3" x14ac:dyDescent="0.35">
      <c r="A3918" t="s">
        <v>76</v>
      </c>
      <c r="B3918">
        <v>2019</v>
      </c>
      <c r="C3918">
        <v>369.33226172045983</v>
      </c>
    </row>
    <row r="3919" spans="1:3" x14ac:dyDescent="0.35">
      <c r="A3919" t="s">
        <v>76</v>
      </c>
      <c r="B3919">
        <v>2020</v>
      </c>
      <c r="C3919">
        <v>364.09164500072927</v>
      </c>
    </row>
    <row r="3920" spans="1:3" x14ac:dyDescent="0.35">
      <c r="A3920" t="s">
        <v>76</v>
      </c>
      <c r="B3920">
        <v>2021</v>
      </c>
      <c r="C3920">
        <v>366.83500194294976</v>
      </c>
    </row>
    <row r="3921" spans="1:3" x14ac:dyDescent="0.35">
      <c r="A3921" t="s">
        <v>76</v>
      </c>
      <c r="B3921">
        <v>2022</v>
      </c>
      <c r="C3921">
        <v>365.46319587751282</v>
      </c>
    </row>
    <row r="3922" spans="1:3" x14ac:dyDescent="0.35">
      <c r="A3922" t="s">
        <v>76</v>
      </c>
      <c r="B3922">
        <v>2023</v>
      </c>
      <c r="C3922">
        <v>397.57948536256004</v>
      </c>
    </row>
    <row r="3923" spans="1:3" x14ac:dyDescent="0.35">
      <c r="A3923" t="s">
        <v>76</v>
      </c>
      <c r="B3923">
        <v>2024</v>
      </c>
      <c r="C3923">
        <v>413.82692344755066</v>
      </c>
    </row>
    <row r="3924" spans="1:3" x14ac:dyDescent="0.35">
      <c r="A3924" t="s">
        <v>76</v>
      </c>
      <c r="B3924">
        <v>2025</v>
      </c>
      <c r="C3924">
        <v>421.09533146937417</v>
      </c>
    </row>
    <row r="3925" spans="1:3" x14ac:dyDescent="0.35">
      <c r="A3925" t="s">
        <v>77</v>
      </c>
      <c r="B3925">
        <v>1949</v>
      </c>
      <c r="C3925">
        <v>23.902768399729908</v>
      </c>
    </row>
    <row r="3926" spans="1:3" x14ac:dyDescent="0.35">
      <c r="A3926" t="s">
        <v>77</v>
      </c>
      <c r="B3926">
        <v>1950</v>
      </c>
      <c r="C3926">
        <v>28.695652173913039</v>
      </c>
    </row>
    <row r="3927" spans="1:3" x14ac:dyDescent="0.35">
      <c r="A3927" t="s">
        <v>77</v>
      </c>
      <c r="B3927">
        <v>1951</v>
      </c>
      <c r="C3927">
        <v>35.732984293193724</v>
      </c>
    </row>
    <row r="3928" spans="1:3" x14ac:dyDescent="0.35">
      <c r="A3928" t="s">
        <v>77</v>
      </c>
      <c r="B3928">
        <v>1952</v>
      </c>
      <c r="C3928">
        <v>35.705128205128204</v>
      </c>
    </row>
    <row r="3929" spans="1:3" x14ac:dyDescent="0.35">
      <c r="A3929" t="s">
        <v>77</v>
      </c>
      <c r="B3929">
        <v>1953</v>
      </c>
      <c r="C3929">
        <v>31.623931623931622</v>
      </c>
    </row>
    <row r="3930" spans="1:3" x14ac:dyDescent="0.35">
      <c r="A3930" t="s">
        <v>77</v>
      </c>
      <c r="B3930">
        <v>1954</v>
      </c>
      <c r="C3930">
        <v>35.526315789473692</v>
      </c>
    </row>
    <row r="3931" spans="1:3" x14ac:dyDescent="0.35">
      <c r="A3931" t="s">
        <v>77</v>
      </c>
      <c r="B3931">
        <v>1955</v>
      </c>
      <c r="C3931">
        <v>41.578947368421048</v>
      </c>
    </row>
    <row r="3932" spans="1:3" x14ac:dyDescent="0.35">
      <c r="A3932" t="s">
        <v>77</v>
      </c>
      <c r="B3932">
        <v>1956</v>
      </c>
      <c r="C3932">
        <v>49.631578947368411</v>
      </c>
    </row>
    <row r="3933" spans="1:3" x14ac:dyDescent="0.35">
      <c r="A3933" t="s">
        <v>77</v>
      </c>
      <c r="B3933">
        <v>1957</v>
      </c>
      <c r="C3933">
        <v>51.84210526315789</v>
      </c>
    </row>
    <row r="3934" spans="1:3" x14ac:dyDescent="0.35">
      <c r="A3934" t="s">
        <v>77</v>
      </c>
      <c r="B3934">
        <v>1958</v>
      </c>
      <c r="C3934">
        <v>44.844928751047782</v>
      </c>
    </row>
    <row r="3935" spans="1:3" x14ac:dyDescent="0.35">
      <c r="A3935" t="s">
        <v>77</v>
      </c>
      <c r="B3935">
        <v>1959</v>
      </c>
      <c r="C3935">
        <v>42.293906810035843</v>
      </c>
    </row>
    <row r="3936" spans="1:3" x14ac:dyDescent="0.35">
      <c r="A3936" t="s">
        <v>77</v>
      </c>
      <c r="B3936">
        <v>1960</v>
      </c>
      <c r="C3936">
        <v>49.085687492673785</v>
      </c>
    </row>
    <row r="3937" spans="1:3" x14ac:dyDescent="0.35">
      <c r="A3937" t="s">
        <v>77</v>
      </c>
      <c r="B3937">
        <v>1961</v>
      </c>
      <c r="C3937">
        <v>63.020431298407338</v>
      </c>
    </row>
    <row r="3938" spans="1:3" x14ac:dyDescent="0.35">
      <c r="A3938" t="s">
        <v>77</v>
      </c>
      <c r="B3938">
        <v>1962</v>
      </c>
      <c r="C3938">
        <v>66.368381804623411</v>
      </c>
    </row>
    <row r="3939" spans="1:3" x14ac:dyDescent="0.35">
      <c r="A3939" t="s">
        <v>77</v>
      </c>
      <c r="B3939">
        <v>1963</v>
      </c>
      <c r="C3939">
        <v>97.31543624161074</v>
      </c>
    </row>
    <row r="3940" spans="1:3" x14ac:dyDescent="0.35">
      <c r="A3940" t="s">
        <v>77</v>
      </c>
      <c r="B3940">
        <v>1964</v>
      </c>
      <c r="C3940">
        <v>120.43251304996271</v>
      </c>
    </row>
    <row r="3941" spans="1:3" x14ac:dyDescent="0.35">
      <c r="A3941" t="s">
        <v>77</v>
      </c>
      <c r="B3941">
        <v>1965</v>
      </c>
      <c r="C3941">
        <v>132.73676360924682</v>
      </c>
    </row>
    <row r="3942" spans="1:3" x14ac:dyDescent="0.35">
      <c r="A3942" t="s">
        <v>77</v>
      </c>
      <c r="B3942">
        <v>1966</v>
      </c>
      <c r="C3942">
        <v>145.04101416853095</v>
      </c>
    </row>
    <row r="3943" spans="1:3" x14ac:dyDescent="0.35">
      <c r="A3943" t="s">
        <v>77</v>
      </c>
      <c r="B3943">
        <v>1967</v>
      </c>
      <c r="C3943">
        <v>243.9806534582109</v>
      </c>
    </row>
    <row r="3944" spans="1:3" x14ac:dyDescent="0.35">
      <c r="A3944" t="s">
        <v>77</v>
      </c>
      <c r="B3944">
        <v>1968</v>
      </c>
      <c r="C3944">
        <v>113.1782945736434</v>
      </c>
    </row>
    <row r="3945" spans="1:3" x14ac:dyDescent="0.35">
      <c r="A3945" t="s">
        <v>77</v>
      </c>
      <c r="B3945">
        <v>1969</v>
      </c>
      <c r="C3945">
        <v>128.94056847545221</v>
      </c>
    </row>
    <row r="3946" spans="1:3" x14ac:dyDescent="0.35">
      <c r="A3946" t="s">
        <v>77</v>
      </c>
      <c r="B3946">
        <v>1970</v>
      </c>
      <c r="C3946">
        <v>218.08785529715757</v>
      </c>
    </row>
    <row r="3947" spans="1:3" x14ac:dyDescent="0.35">
      <c r="A3947" t="s">
        <v>77</v>
      </c>
      <c r="B3947">
        <v>1971</v>
      </c>
      <c r="C3947">
        <v>247.28682170542635</v>
      </c>
    </row>
    <row r="3948" spans="1:3" x14ac:dyDescent="0.35">
      <c r="A3948" t="s">
        <v>77</v>
      </c>
      <c r="B3948">
        <v>1972</v>
      </c>
      <c r="C3948">
        <v>276.48578811369504</v>
      </c>
    </row>
    <row r="3949" spans="1:3" x14ac:dyDescent="0.35">
      <c r="A3949" t="s">
        <v>77</v>
      </c>
      <c r="B3949">
        <v>1973</v>
      </c>
      <c r="C3949">
        <v>364.34108527131775</v>
      </c>
    </row>
    <row r="3950" spans="1:3" x14ac:dyDescent="0.35">
      <c r="A3950" t="s">
        <v>77</v>
      </c>
      <c r="B3950">
        <v>1974</v>
      </c>
      <c r="C3950">
        <v>454.78036175710594</v>
      </c>
    </row>
    <row r="3951" spans="1:3" x14ac:dyDescent="0.35">
      <c r="A3951" t="s">
        <v>77</v>
      </c>
      <c r="B3951">
        <v>1975</v>
      </c>
      <c r="C3951">
        <v>710.90986554638494</v>
      </c>
    </row>
    <row r="3952" spans="1:3" x14ac:dyDescent="0.35">
      <c r="A3952" t="s">
        <v>77</v>
      </c>
      <c r="B3952">
        <v>1976</v>
      </c>
      <c r="C3952">
        <v>778.39435538544853</v>
      </c>
    </row>
    <row r="3953" spans="1:3" x14ac:dyDescent="0.35">
      <c r="A3953" t="s">
        <v>77</v>
      </c>
      <c r="B3953">
        <v>1977</v>
      </c>
      <c r="C3953">
        <v>1031.6401297326047</v>
      </c>
    </row>
    <row r="3954" spans="1:3" x14ac:dyDescent="0.35">
      <c r="A3954" t="s">
        <v>77</v>
      </c>
      <c r="B3954">
        <v>1978</v>
      </c>
      <c r="C3954">
        <v>665.17854287523426</v>
      </c>
    </row>
    <row r="3955" spans="1:3" x14ac:dyDescent="0.35">
      <c r="A3955" t="s">
        <v>77</v>
      </c>
      <c r="B3955">
        <v>1979</v>
      </c>
      <c r="C3955">
        <v>520.65023429260543</v>
      </c>
    </row>
    <row r="3956" spans="1:3" x14ac:dyDescent="0.35">
      <c r="A3956" t="s">
        <v>77</v>
      </c>
      <c r="B3956">
        <v>1980</v>
      </c>
      <c r="C3956">
        <v>948.57281334925835</v>
      </c>
    </row>
    <row r="3957" spans="1:3" x14ac:dyDescent="0.35">
      <c r="A3957" t="s">
        <v>77</v>
      </c>
      <c r="B3957">
        <v>1981</v>
      </c>
      <c r="C3957">
        <v>994.51124508072121</v>
      </c>
    </row>
    <row r="3958" spans="1:3" x14ac:dyDescent="0.35">
      <c r="A3958" t="s">
        <v>77</v>
      </c>
      <c r="B3958">
        <v>1982</v>
      </c>
      <c r="C3958">
        <v>1268.6953367920212</v>
      </c>
    </row>
    <row r="3959" spans="1:3" x14ac:dyDescent="0.35">
      <c r="A3959" t="s">
        <v>77</v>
      </c>
      <c r="B3959">
        <v>1983</v>
      </c>
      <c r="C3959">
        <v>927.1596372411168</v>
      </c>
    </row>
    <row r="3960" spans="1:3" x14ac:dyDescent="0.35">
      <c r="A3960" t="s">
        <v>77</v>
      </c>
      <c r="B3960">
        <v>1984</v>
      </c>
      <c r="C3960">
        <v>666.31091624962141</v>
      </c>
    </row>
    <row r="3961" spans="1:3" x14ac:dyDescent="0.35">
      <c r="A3961" t="s">
        <v>77</v>
      </c>
      <c r="B3961">
        <v>1985</v>
      </c>
      <c r="C3961">
        <v>666.97646447803618</v>
      </c>
    </row>
    <row r="3962" spans="1:3" x14ac:dyDescent="0.35">
      <c r="A3962" t="s">
        <v>77</v>
      </c>
      <c r="B3962">
        <v>1986</v>
      </c>
      <c r="C3962">
        <v>867.53898548126904</v>
      </c>
    </row>
    <row r="3963" spans="1:3" x14ac:dyDescent="0.35">
      <c r="A3963" t="s">
        <v>77</v>
      </c>
      <c r="B3963">
        <v>1987</v>
      </c>
      <c r="C3963">
        <v>1455.2323025932835</v>
      </c>
    </row>
    <row r="3964" spans="1:3" x14ac:dyDescent="0.35">
      <c r="A3964" t="s">
        <v>77</v>
      </c>
      <c r="B3964">
        <v>1988</v>
      </c>
      <c r="C3964">
        <v>736.61823149528061</v>
      </c>
    </row>
    <row r="3965" spans="1:3" x14ac:dyDescent="0.35">
      <c r="A3965" t="s">
        <v>77</v>
      </c>
      <c r="B3965">
        <v>1989</v>
      </c>
      <c r="C3965">
        <v>862.65419943814959</v>
      </c>
    </row>
    <row r="3966" spans="1:3" x14ac:dyDescent="0.35">
      <c r="A3966" t="s">
        <v>77</v>
      </c>
      <c r="B3966">
        <v>1990</v>
      </c>
      <c r="C3966">
        <v>777.06694484953641</v>
      </c>
    </row>
    <row r="3967" spans="1:3" x14ac:dyDescent="0.35">
      <c r="A3967" t="s">
        <v>77</v>
      </c>
      <c r="B3967">
        <v>1991</v>
      </c>
      <c r="C3967">
        <v>697.73462783171522</v>
      </c>
    </row>
    <row r="3968" spans="1:3" x14ac:dyDescent="0.35">
      <c r="A3968" t="s">
        <v>77</v>
      </c>
      <c r="B3968">
        <v>1992</v>
      </c>
      <c r="C3968">
        <v>904.61780499747158</v>
      </c>
    </row>
    <row r="3969" spans="1:3" x14ac:dyDescent="0.35">
      <c r="A3969" t="s">
        <v>77</v>
      </c>
      <c r="B3969">
        <v>1993</v>
      </c>
      <c r="C3969">
        <v>956.58646495533924</v>
      </c>
    </row>
    <row r="3970" spans="1:3" x14ac:dyDescent="0.35">
      <c r="A3970" t="s">
        <v>77</v>
      </c>
      <c r="B3970">
        <v>1994</v>
      </c>
      <c r="C3970">
        <v>1111.1617312072894</v>
      </c>
    </row>
    <row r="3971" spans="1:3" x14ac:dyDescent="0.35">
      <c r="A3971" t="s">
        <v>77</v>
      </c>
      <c r="B3971">
        <v>1995</v>
      </c>
      <c r="C3971">
        <v>1413.463629384067</v>
      </c>
    </row>
    <row r="3972" spans="1:3" x14ac:dyDescent="0.35">
      <c r="A3972" t="s">
        <v>77</v>
      </c>
      <c r="B3972">
        <v>1996</v>
      </c>
      <c r="C3972">
        <v>1396.469288681099</v>
      </c>
    </row>
    <row r="3973" spans="1:3" x14ac:dyDescent="0.35">
      <c r="A3973" t="s">
        <v>77</v>
      </c>
      <c r="B3973">
        <v>1997</v>
      </c>
      <c r="C3973">
        <v>1178.7536080655516</v>
      </c>
    </row>
    <row r="3974" spans="1:3" x14ac:dyDescent="0.35">
      <c r="A3974" t="s">
        <v>77</v>
      </c>
      <c r="B3974">
        <v>1998</v>
      </c>
      <c r="C3974">
        <v>1141.8088737201365</v>
      </c>
    </row>
    <row r="3975" spans="1:3" x14ac:dyDescent="0.35">
      <c r="A3975" t="s">
        <v>77</v>
      </c>
      <c r="B3975">
        <v>1999</v>
      </c>
      <c r="C3975">
        <v>992.2177263228831</v>
      </c>
    </row>
    <row r="3976" spans="1:3" x14ac:dyDescent="0.35">
      <c r="A3976" t="s">
        <v>77</v>
      </c>
      <c r="B3976">
        <v>2000</v>
      </c>
      <c r="C3976">
        <v>912.00573065902574</v>
      </c>
    </row>
    <row r="3977" spans="1:3" x14ac:dyDescent="0.35">
      <c r="A3977" t="s">
        <v>77</v>
      </c>
      <c r="B3977">
        <v>2001</v>
      </c>
      <c r="C3977">
        <v>904.23544910930957</v>
      </c>
    </row>
    <row r="3978" spans="1:3" x14ac:dyDescent="0.35">
      <c r="A3978" t="s">
        <v>77</v>
      </c>
      <c r="B3978">
        <v>2002</v>
      </c>
      <c r="C3978">
        <v>839.61325181288203</v>
      </c>
    </row>
    <row r="3979" spans="1:3" x14ac:dyDescent="0.35">
      <c r="A3979" t="s">
        <v>77</v>
      </c>
      <c r="B3979">
        <v>2003</v>
      </c>
      <c r="C3979">
        <v>891.25391335845927</v>
      </c>
    </row>
    <row r="3980" spans="1:3" x14ac:dyDescent="0.35">
      <c r="A3980" t="s">
        <v>77</v>
      </c>
      <c r="B3980">
        <v>2004</v>
      </c>
      <c r="C3980">
        <v>922.0460744703604</v>
      </c>
    </row>
    <row r="3981" spans="1:3" x14ac:dyDescent="0.35">
      <c r="A3981" t="s">
        <v>77</v>
      </c>
      <c r="B3981">
        <v>2005</v>
      </c>
      <c r="C3981">
        <v>1203.0394213774448</v>
      </c>
    </row>
    <row r="3982" spans="1:3" x14ac:dyDescent="0.35">
      <c r="A3982" t="s">
        <v>77</v>
      </c>
      <c r="B3982">
        <v>2006</v>
      </c>
      <c r="C3982">
        <v>1291.0601395231888</v>
      </c>
    </row>
    <row r="3983" spans="1:3" x14ac:dyDescent="0.35">
      <c r="A3983" t="s">
        <v>77</v>
      </c>
      <c r="B3983">
        <v>2007</v>
      </c>
      <c r="C3983">
        <v>1332.655375707312</v>
      </c>
    </row>
    <row r="3984" spans="1:3" x14ac:dyDescent="0.35">
      <c r="A3984" t="s">
        <v>77</v>
      </c>
      <c r="B3984">
        <v>2008</v>
      </c>
      <c r="C3984">
        <v>1503.6638913805077</v>
      </c>
    </row>
    <row r="3985" spans="1:3" x14ac:dyDescent="0.35">
      <c r="A3985" t="s">
        <v>77</v>
      </c>
      <c r="B3985">
        <v>2009</v>
      </c>
      <c r="C3985">
        <v>1848.5629300641885</v>
      </c>
    </row>
    <row r="3986" spans="1:3" x14ac:dyDescent="0.35">
      <c r="A3986" t="s">
        <v>77</v>
      </c>
      <c r="B3986">
        <v>2010</v>
      </c>
      <c r="C3986">
        <v>2178.9457233336311</v>
      </c>
    </row>
    <row r="3987" spans="1:3" x14ac:dyDescent="0.35">
      <c r="A3987" t="s">
        <v>77</v>
      </c>
      <c r="B3987">
        <v>2011</v>
      </c>
      <c r="C3987">
        <v>2355.1678338493666</v>
      </c>
    </row>
    <row r="3988" spans="1:3" x14ac:dyDescent="0.35">
      <c r="A3988" t="s">
        <v>77</v>
      </c>
      <c r="B3988">
        <v>2012</v>
      </c>
      <c r="C3988">
        <v>2857.9833821985499</v>
      </c>
    </row>
    <row r="3989" spans="1:3" x14ac:dyDescent="0.35">
      <c r="A3989" t="s">
        <v>77</v>
      </c>
      <c r="B3989">
        <v>2013</v>
      </c>
      <c r="C3989">
        <v>3305.451871317915</v>
      </c>
    </row>
    <row r="3990" spans="1:3" x14ac:dyDescent="0.35">
      <c r="A3990" t="s">
        <v>77</v>
      </c>
      <c r="B3990">
        <v>2014</v>
      </c>
      <c r="C3990">
        <v>3217.5746568971613</v>
      </c>
    </row>
    <row r="3991" spans="1:3" x14ac:dyDescent="0.35">
      <c r="A3991" t="s">
        <v>77</v>
      </c>
      <c r="B3991">
        <v>2015</v>
      </c>
      <c r="C3991">
        <v>3312.2145701862896</v>
      </c>
    </row>
    <row r="3992" spans="1:3" x14ac:dyDescent="0.35">
      <c r="A3992" t="s">
        <v>77</v>
      </c>
      <c r="B3992">
        <v>2016</v>
      </c>
      <c r="C3992">
        <v>2536.7174705405755</v>
      </c>
    </row>
    <row r="3993" spans="1:3" x14ac:dyDescent="0.35">
      <c r="A3993" t="s">
        <v>77</v>
      </c>
      <c r="B3993">
        <v>2017</v>
      </c>
      <c r="C3993">
        <v>2669.756320242348</v>
      </c>
    </row>
    <row r="3994" spans="1:3" x14ac:dyDescent="0.35">
      <c r="A3994" t="s">
        <v>77</v>
      </c>
      <c r="B3994">
        <v>2018</v>
      </c>
      <c r="C3994">
        <v>2648.4398101549941</v>
      </c>
    </row>
    <row r="3995" spans="1:3" x14ac:dyDescent="0.35">
      <c r="A3995" t="s">
        <v>77</v>
      </c>
      <c r="B3995">
        <v>2019</v>
      </c>
      <c r="C3995">
        <v>2753.3619581263079</v>
      </c>
    </row>
    <row r="3996" spans="1:3" x14ac:dyDescent="0.35">
      <c r="A3996" t="s">
        <v>77</v>
      </c>
      <c r="B3996">
        <v>2020</v>
      </c>
      <c r="C3996">
        <v>2652.1190130818832</v>
      </c>
    </row>
    <row r="3997" spans="1:3" x14ac:dyDescent="0.35">
      <c r="A3997" t="s">
        <v>77</v>
      </c>
      <c r="B3997">
        <v>2021</v>
      </c>
      <c r="C3997">
        <v>2635.8927060715469</v>
      </c>
    </row>
    <row r="3998" spans="1:3" x14ac:dyDescent="0.35">
      <c r="A3998" t="s">
        <v>77</v>
      </c>
      <c r="B3998">
        <v>2022</v>
      </c>
      <c r="C3998">
        <v>2797.9762047500412</v>
      </c>
    </row>
    <row r="3999" spans="1:3" x14ac:dyDescent="0.35">
      <c r="A3999" t="s">
        <v>77</v>
      </c>
      <c r="B3999">
        <v>2023</v>
      </c>
      <c r="C3999">
        <v>3307.2011957674476</v>
      </c>
    </row>
    <row r="4000" spans="1:3" x14ac:dyDescent="0.35">
      <c r="A4000" t="s">
        <v>77</v>
      </c>
      <c r="B4000">
        <v>2024</v>
      </c>
      <c r="C4000">
        <v>2543.2874083944039</v>
      </c>
    </row>
    <row r="4001" spans="1:3" x14ac:dyDescent="0.35">
      <c r="A4001" t="s">
        <v>77</v>
      </c>
      <c r="B4001">
        <v>2025</v>
      </c>
      <c r="C4001">
        <v>2596.2414083930848</v>
      </c>
    </row>
    <row r="4002" spans="1:3" x14ac:dyDescent="0.35">
      <c r="A4002" t="s">
        <v>78</v>
      </c>
      <c r="B4002">
        <v>1972</v>
      </c>
      <c r="C4002">
        <v>51.429281911586848</v>
      </c>
    </row>
    <row r="4003" spans="1:3" x14ac:dyDescent="0.35">
      <c r="A4003" t="s">
        <v>78</v>
      </c>
      <c r="B4003">
        <v>1973</v>
      </c>
      <c r="C4003">
        <v>112.46559824348336</v>
      </c>
    </row>
    <row r="4004" spans="1:3" x14ac:dyDescent="0.35">
      <c r="A4004" t="s">
        <v>78</v>
      </c>
      <c r="B4004">
        <v>1974</v>
      </c>
      <c r="C4004">
        <v>187.5574736190398</v>
      </c>
    </row>
    <row r="4005" spans="1:3" x14ac:dyDescent="0.35">
      <c r="A4005" t="s">
        <v>78</v>
      </c>
      <c r="B4005">
        <v>1975</v>
      </c>
      <c r="C4005">
        <v>156.54141862306167</v>
      </c>
    </row>
    <row r="4006" spans="1:3" x14ac:dyDescent="0.35">
      <c r="A4006" t="s">
        <v>78</v>
      </c>
      <c r="B4006">
        <v>1976</v>
      </c>
      <c r="C4006">
        <v>133.2323996971991</v>
      </c>
    </row>
    <row r="4007" spans="1:3" x14ac:dyDescent="0.35">
      <c r="A4007" t="s">
        <v>78</v>
      </c>
      <c r="B4007">
        <v>1977</v>
      </c>
      <c r="C4007">
        <v>160.54507851859503</v>
      </c>
    </row>
    <row r="4008" spans="1:3" x14ac:dyDescent="0.35">
      <c r="A4008" t="s">
        <v>78</v>
      </c>
      <c r="B4008">
        <v>1978</v>
      </c>
      <c r="C4008">
        <v>185.94365575188476</v>
      </c>
    </row>
    <row r="4009" spans="1:3" x14ac:dyDescent="0.35">
      <c r="A4009" t="s">
        <v>78</v>
      </c>
      <c r="B4009">
        <v>1979</v>
      </c>
      <c r="C4009">
        <v>279.39624894588519</v>
      </c>
    </row>
    <row r="4010" spans="1:3" x14ac:dyDescent="0.35">
      <c r="A4010" t="s">
        <v>78</v>
      </c>
      <c r="B4010">
        <v>1980</v>
      </c>
      <c r="C4010">
        <v>477.26646459079637</v>
      </c>
    </row>
    <row r="4011" spans="1:3" x14ac:dyDescent="0.35">
      <c r="A4011" t="s">
        <v>78</v>
      </c>
      <c r="B4011">
        <v>1981</v>
      </c>
      <c r="C4011">
        <v>709.69953582314952</v>
      </c>
    </row>
    <row r="4012" spans="1:3" x14ac:dyDescent="0.35">
      <c r="A4012" t="s">
        <v>78</v>
      </c>
      <c r="B4012">
        <v>1982</v>
      </c>
      <c r="C4012">
        <v>599.13522409822929</v>
      </c>
    </row>
    <row r="4013" spans="1:3" x14ac:dyDescent="0.35">
      <c r="A4013" t="s">
        <v>78</v>
      </c>
      <c r="B4013">
        <v>1983</v>
      </c>
      <c r="C4013">
        <v>274.61179085286744</v>
      </c>
    </row>
    <row r="4014" spans="1:3" x14ac:dyDescent="0.35">
      <c r="A4014" t="s">
        <v>78</v>
      </c>
      <c r="B4014">
        <v>1984</v>
      </c>
      <c r="C4014">
        <v>221.85127734451177</v>
      </c>
    </row>
    <row r="4015" spans="1:3" x14ac:dyDescent="0.35">
      <c r="A4015" t="s">
        <v>78</v>
      </c>
      <c r="B4015">
        <v>1985</v>
      </c>
      <c r="C4015">
        <v>203.64585392858555</v>
      </c>
    </row>
    <row r="4016" spans="1:3" x14ac:dyDescent="0.35">
      <c r="A4016" t="s">
        <v>78</v>
      </c>
      <c r="B4016">
        <v>1986</v>
      </c>
      <c r="C4016">
        <v>242.34980255424804</v>
      </c>
    </row>
    <row r="4017" spans="1:3" x14ac:dyDescent="0.35">
      <c r="A4017" t="s">
        <v>78</v>
      </c>
      <c r="B4017">
        <v>1987</v>
      </c>
      <c r="C4017">
        <v>223.92493858692279</v>
      </c>
    </row>
    <row r="4018" spans="1:3" x14ac:dyDescent="0.35">
      <c r="A4018" t="s">
        <v>78</v>
      </c>
      <c r="B4018">
        <v>1988</v>
      </c>
      <c r="C4018">
        <v>259.96702993246993</v>
      </c>
    </row>
    <row r="4019" spans="1:3" x14ac:dyDescent="0.35">
      <c r="A4019" t="s">
        <v>78</v>
      </c>
      <c r="B4019">
        <v>1989</v>
      </c>
      <c r="C4019">
        <v>297.82123642498607</v>
      </c>
    </row>
    <row r="4020" spans="1:3" x14ac:dyDescent="0.35">
      <c r="A4020" t="s">
        <v>78</v>
      </c>
      <c r="B4020">
        <v>1990</v>
      </c>
      <c r="C4020">
        <v>328.35106201046614</v>
      </c>
    </row>
    <row r="4021" spans="1:3" x14ac:dyDescent="0.35">
      <c r="A4021" t="s">
        <v>78</v>
      </c>
      <c r="B4021">
        <v>1991</v>
      </c>
      <c r="C4021">
        <v>268.62801463080996</v>
      </c>
    </row>
    <row r="4022" spans="1:3" x14ac:dyDescent="0.35">
      <c r="A4022" t="s">
        <v>78</v>
      </c>
      <c r="B4022">
        <v>1992</v>
      </c>
      <c r="C4022">
        <v>366.96519781407756</v>
      </c>
    </row>
    <row r="4023" spans="1:3" x14ac:dyDescent="0.35">
      <c r="A4023" t="s">
        <v>78</v>
      </c>
      <c r="B4023">
        <v>1993</v>
      </c>
      <c r="C4023">
        <v>418.91963898312395</v>
      </c>
    </row>
    <row r="4024" spans="1:3" x14ac:dyDescent="0.35">
      <c r="A4024" t="s">
        <v>78</v>
      </c>
      <c r="B4024">
        <v>1994</v>
      </c>
      <c r="C4024">
        <v>450.44330600009516</v>
      </c>
    </row>
    <row r="4025" spans="1:3" x14ac:dyDescent="0.35">
      <c r="A4025" t="s">
        <v>78</v>
      </c>
      <c r="B4025">
        <v>1995</v>
      </c>
      <c r="C4025">
        <v>523.86202551582926</v>
      </c>
    </row>
    <row r="4026" spans="1:3" x14ac:dyDescent="0.35">
      <c r="A4026" t="s">
        <v>78</v>
      </c>
      <c r="B4026">
        <v>1996</v>
      </c>
      <c r="C4026">
        <v>575.65201465660971</v>
      </c>
    </row>
    <row r="4027" spans="1:3" x14ac:dyDescent="0.35">
      <c r="A4027" t="s">
        <v>78</v>
      </c>
      <c r="B4027">
        <v>1997</v>
      </c>
      <c r="C4027">
        <v>575.20628945871727</v>
      </c>
    </row>
    <row r="4028" spans="1:3" x14ac:dyDescent="0.35">
      <c r="A4028" t="s">
        <v>78</v>
      </c>
      <c r="B4028">
        <v>1998</v>
      </c>
      <c r="C4028">
        <v>573.24840764331213</v>
      </c>
    </row>
    <row r="4029" spans="1:3" x14ac:dyDescent="0.35">
      <c r="A4029" t="s">
        <v>78</v>
      </c>
      <c r="B4029">
        <v>1999</v>
      </c>
      <c r="C4029">
        <v>574.28589066344489</v>
      </c>
    </row>
    <row r="4030" spans="1:3" x14ac:dyDescent="0.35">
      <c r="A4030" t="s">
        <v>78</v>
      </c>
      <c r="B4030">
        <v>2000</v>
      </c>
      <c r="C4030">
        <v>555.96879235677204</v>
      </c>
    </row>
    <row r="4031" spans="1:3" x14ac:dyDescent="0.35">
      <c r="A4031" t="s">
        <v>78</v>
      </c>
      <c r="B4031">
        <v>2001</v>
      </c>
      <c r="C4031">
        <v>523.00831137239004</v>
      </c>
    </row>
    <row r="4032" spans="1:3" x14ac:dyDescent="0.35">
      <c r="A4032" t="s">
        <v>78</v>
      </c>
      <c r="B4032">
        <v>2002</v>
      </c>
      <c r="C4032">
        <v>344.26306628404762</v>
      </c>
    </row>
    <row r="4033" spans="1:3" x14ac:dyDescent="0.35">
      <c r="A4033" t="s">
        <v>78</v>
      </c>
      <c r="B4033">
        <v>2003</v>
      </c>
      <c r="C4033">
        <v>269.52677719994188</v>
      </c>
    </row>
    <row r="4034" spans="1:3" x14ac:dyDescent="0.35">
      <c r="A4034" t="s">
        <v>78</v>
      </c>
      <c r="B4034">
        <v>2004</v>
      </c>
      <c r="C4034">
        <v>279.301971522835</v>
      </c>
    </row>
    <row r="4035" spans="1:3" x14ac:dyDescent="0.35">
      <c r="A4035" t="s">
        <v>78</v>
      </c>
      <c r="B4035">
        <v>2005</v>
      </c>
      <c r="C4035">
        <v>347.32378485697711</v>
      </c>
    </row>
    <row r="4036" spans="1:3" x14ac:dyDescent="0.35">
      <c r="A4036" t="s">
        <v>78</v>
      </c>
      <c r="B4036">
        <v>2006</v>
      </c>
      <c r="C4036">
        <v>392.79869067103112</v>
      </c>
    </row>
    <row r="4037" spans="1:3" x14ac:dyDescent="0.35">
      <c r="A4037" t="s">
        <v>78</v>
      </c>
      <c r="B4037">
        <v>2007</v>
      </c>
      <c r="C4037">
        <v>416.0453325380256</v>
      </c>
    </row>
    <row r="4038" spans="1:3" x14ac:dyDescent="0.35">
      <c r="A4038" t="s">
        <v>78</v>
      </c>
      <c r="B4038">
        <v>2008</v>
      </c>
      <c r="C4038">
        <v>567.70393282830457</v>
      </c>
    </row>
    <row r="4039" spans="1:3" x14ac:dyDescent="0.35">
      <c r="A4039" t="s">
        <v>78</v>
      </c>
      <c r="B4039">
        <v>2009</v>
      </c>
      <c r="C4039">
        <v>577.05600850762141</v>
      </c>
    </row>
    <row r="4040" spans="1:3" x14ac:dyDescent="0.35">
      <c r="A4040" t="s">
        <v>78</v>
      </c>
      <c r="B4040">
        <v>2010</v>
      </c>
      <c r="C4040">
        <v>755.65946967242121</v>
      </c>
    </row>
    <row r="4041" spans="1:3" x14ac:dyDescent="0.35">
      <c r="A4041" t="s">
        <v>78</v>
      </c>
      <c r="B4041">
        <v>2011</v>
      </c>
      <c r="C4041">
        <v>824.83354216069006</v>
      </c>
    </row>
    <row r="4042" spans="1:3" x14ac:dyDescent="0.35">
      <c r="A4042" t="s">
        <v>78</v>
      </c>
      <c r="B4042">
        <v>2012</v>
      </c>
      <c r="C4042">
        <v>924.64033558831341</v>
      </c>
    </row>
    <row r="4043" spans="1:3" x14ac:dyDescent="0.35">
      <c r="A4043" t="s">
        <v>78</v>
      </c>
      <c r="B4043">
        <v>2013</v>
      </c>
      <c r="C4043">
        <v>1045.0843684087181</v>
      </c>
    </row>
    <row r="4044" spans="1:3" x14ac:dyDescent="0.35">
      <c r="A4044" t="s">
        <v>78</v>
      </c>
      <c r="B4044">
        <v>2014</v>
      </c>
      <c r="C4044">
        <v>1034.4994466795936</v>
      </c>
    </row>
    <row r="4045" spans="1:3" x14ac:dyDescent="0.35">
      <c r="A4045" t="s">
        <v>78</v>
      </c>
      <c r="B4045">
        <v>2015</v>
      </c>
      <c r="C4045">
        <v>969.90684551871573</v>
      </c>
    </row>
    <row r="4046" spans="1:3" x14ac:dyDescent="0.35">
      <c r="A4046" t="s">
        <v>78</v>
      </c>
      <c r="B4046">
        <v>2016</v>
      </c>
      <c r="C4046">
        <v>987.08334162174344</v>
      </c>
    </row>
    <row r="4047" spans="1:3" x14ac:dyDescent="0.35">
      <c r="A4047" t="s">
        <v>78</v>
      </c>
      <c r="B4047">
        <v>2017</v>
      </c>
      <c r="C4047">
        <v>1164.9579445118634</v>
      </c>
    </row>
    <row r="4048" spans="1:3" x14ac:dyDescent="0.35">
      <c r="A4048" t="s">
        <v>78</v>
      </c>
      <c r="B4048">
        <v>2018</v>
      </c>
      <c r="C4048">
        <v>1271.7686398622643</v>
      </c>
    </row>
    <row r="4049" spans="1:3" x14ac:dyDescent="0.35">
      <c r="A4049" t="s">
        <v>78</v>
      </c>
      <c r="B4049">
        <v>2019</v>
      </c>
      <c r="C4049">
        <v>1154.4452441648966</v>
      </c>
    </row>
    <row r="4050" spans="1:3" x14ac:dyDescent="0.35">
      <c r="A4050" t="s">
        <v>78</v>
      </c>
      <c r="B4050">
        <v>2020</v>
      </c>
      <c r="C4050">
        <v>1090.4106111577798</v>
      </c>
    </row>
    <row r="4051" spans="1:3" x14ac:dyDescent="0.35">
      <c r="A4051" t="s">
        <v>78</v>
      </c>
      <c r="B4051">
        <v>2021</v>
      </c>
      <c r="C4051">
        <v>1246.3415559444675</v>
      </c>
    </row>
    <row r="4052" spans="1:3" x14ac:dyDescent="0.35">
      <c r="A4052" t="s">
        <v>78</v>
      </c>
      <c r="B4052">
        <v>2022</v>
      </c>
      <c r="C4052">
        <v>1299.0926048743768</v>
      </c>
    </row>
    <row r="4053" spans="1:3" x14ac:dyDescent="0.35">
      <c r="A4053" t="s">
        <v>78</v>
      </c>
      <c r="B4053">
        <v>2023</v>
      </c>
      <c r="C4053">
        <v>1510.4836252996995</v>
      </c>
    </row>
    <row r="4054" spans="1:3" x14ac:dyDescent="0.35">
      <c r="A4054" t="s">
        <v>78</v>
      </c>
      <c r="B4054">
        <v>2024</v>
      </c>
      <c r="C4054">
        <v>1583.0891316599229</v>
      </c>
    </row>
    <row r="4055" spans="1:3" x14ac:dyDescent="0.35">
      <c r="A4055" t="s">
        <v>78</v>
      </c>
      <c r="B4055">
        <v>2025</v>
      </c>
      <c r="C4055">
        <v>1954.31686468679</v>
      </c>
    </row>
    <row r="4056" spans="1:3" x14ac:dyDescent="0.35">
      <c r="A4056" t="s">
        <v>79</v>
      </c>
      <c r="B4056">
        <v>1955</v>
      </c>
      <c r="C4056">
        <v>142.85714285714286</v>
      </c>
    </row>
    <row r="4057" spans="1:3" x14ac:dyDescent="0.35">
      <c r="A4057" t="s">
        <v>79</v>
      </c>
      <c r="B4057">
        <v>1956</v>
      </c>
      <c r="C4057">
        <v>173.40327059549523</v>
      </c>
    </row>
    <row r="4058" spans="1:3" x14ac:dyDescent="0.35">
      <c r="A4058" t="s">
        <v>79</v>
      </c>
      <c r="B4058">
        <v>1957</v>
      </c>
      <c r="C4058">
        <v>228.93267230392229</v>
      </c>
    </row>
    <row r="4059" spans="1:3" x14ac:dyDescent="0.35">
      <c r="A4059" t="s">
        <v>79</v>
      </c>
      <c r="B4059">
        <v>1958</v>
      </c>
      <c r="C4059">
        <v>251.94029850746267</v>
      </c>
    </row>
    <row r="4060" spans="1:3" x14ac:dyDescent="0.35">
      <c r="A4060" t="s">
        <v>79</v>
      </c>
      <c r="B4060">
        <v>1959</v>
      </c>
      <c r="C4060">
        <v>225.6938743219481</v>
      </c>
    </row>
    <row r="4061" spans="1:3" x14ac:dyDescent="0.35">
      <c r="A4061" t="s">
        <v>79</v>
      </c>
      <c r="B4061">
        <v>1960</v>
      </c>
      <c r="C4061">
        <v>234.35774037341994</v>
      </c>
    </row>
    <row r="4062" spans="1:3" x14ac:dyDescent="0.35">
      <c r="A4062" t="s">
        <v>79</v>
      </c>
      <c r="B4062">
        <v>1961</v>
      </c>
      <c r="C4062">
        <v>114.63268285256268</v>
      </c>
    </row>
    <row r="4063" spans="1:3" x14ac:dyDescent="0.35">
      <c r="A4063" t="s">
        <v>79</v>
      </c>
      <c r="B4063">
        <v>1962</v>
      </c>
      <c r="C4063">
        <v>203.90068275382353</v>
      </c>
    </row>
    <row r="4064" spans="1:3" x14ac:dyDescent="0.35">
      <c r="A4064" t="s">
        <v>79</v>
      </c>
      <c r="B4064">
        <v>1963</v>
      </c>
      <c r="C4064">
        <v>245.39730779449917</v>
      </c>
    </row>
    <row r="4065" spans="1:3" x14ac:dyDescent="0.35">
      <c r="A4065" t="s">
        <v>79</v>
      </c>
      <c r="B4065">
        <v>1964</v>
      </c>
      <c r="C4065">
        <v>200.45977011494256</v>
      </c>
    </row>
    <row r="4066" spans="1:3" x14ac:dyDescent="0.35">
      <c r="A4066" t="s">
        <v>79</v>
      </c>
      <c r="B4066">
        <v>1965</v>
      </c>
      <c r="C4066">
        <v>227.27272727272725</v>
      </c>
    </row>
    <row r="4067" spans="1:3" x14ac:dyDescent="0.35">
      <c r="A4067" t="s">
        <v>79</v>
      </c>
      <c r="B4067">
        <v>1966</v>
      </c>
      <c r="C4067">
        <v>238.63636363636363</v>
      </c>
    </row>
    <row r="4068" spans="1:3" x14ac:dyDescent="0.35">
      <c r="A4068" t="s">
        <v>79</v>
      </c>
      <c r="B4068">
        <v>1967</v>
      </c>
      <c r="C4068">
        <v>270.45454545454544</v>
      </c>
    </row>
    <row r="4069" spans="1:3" x14ac:dyDescent="0.35">
      <c r="A4069" t="s">
        <v>79</v>
      </c>
      <c r="B4069">
        <v>1968</v>
      </c>
      <c r="C4069">
        <v>272.72727272727269</v>
      </c>
    </row>
    <row r="4070" spans="1:3" x14ac:dyDescent="0.35">
      <c r="A4070" t="s">
        <v>79</v>
      </c>
      <c r="B4070">
        <v>1969</v>
      </c>
      <c r="C4070">
        <v>263.63636363636363</v>
      </c>
    </row>
    <row r="4071" spans="1:3" x14ac:dyDescent="0.35">
      <c r="A4071" t="s">
        <v>79</v>
      </c>
      <c r="B4071">
        <v>1970</v>
      </c>
      <c r="C4071">
        <v>272.72727272727269</v>
      </c>
    </row>
    <row r="4072" spans="1:3" x14ac:dyDescent="0.35">
      <c r="A4072" t="s">
        <v>79</v>
      </c>
      <c r="B4072">
        <v>1971</v>
      </c>
      <c r="C4072">
        <v>352.27272727272725</v>
      </c>
    </row>
    <row r="4073" spans="1:3" x14ac:dyDescent="0.35">
      <c r="A4073" t="s">
        <v>79</v>
      </c>
      <c r="B4073">
        <v>1972</v>
      </c>
      <c r="C4073">
        <v>404.6511627906977</v>
      </c>
    </row>
    <row r="4074" spans="1:3" x14ac:dyDescent="0.35">
      <c r="A4074" t="s">
        <v>79</v>
      </c>
      <c r="B4074">
        <v>1973</v>
      </c>
      <c r="C4074">
        <v>420.93023255813955</v>
      </c>
    </row>
    <row r="4075" spans="1:3" x14ac:dyDescent="0.35">
      <c r="A4075" t="s">
        <v>79</v>
      </c>
      <c r="B4075">
        <v>1974</v>
      </c>
      <c r="C4075">
        <v>602.32558139534876</v>
      </c>
    </row>
    <row r="4076" spans="1:3" x14ac:dyDescent="0.35">
      <c r="A4076" t="s">
        <v>79</v>
      </c>
      <c r="B4076">
        <v>1975</v>
      </c>
      <c r="C4076">
        <v>711.62790697674416</v>
      </c>
    </row>
    <row r="4077" spans="1:3" x14ac:dyDescent="0.35">
      <c r="A4077" t="s">
        <v>79</v>
      </c>
      <c r="B4077">
        <v>1976</v>
      </c>
      <c r="C4077">
        <v>593.02325581395348</v>
      </c>
    </row>
    <row r="4078" spans="1:3" x14ac:dyDescent="0.35">
      <c r="A4078" t="s">
        <v>79</v>
      </c>
      <c r="B4078">
        <v>1977</v>
      </c>
      <c r="C4078">
        <v>748.83720930232562</v>
      </c>
    </row>
    <row r="4079" spans="1:3" x14ac:dyDescent="0.35">
      <c r="A4079" t="s">
        <v>79</v>
      </c>
      <c r="B4079">
        <v>1978</v>
      </c>
      <c r="C4079">
        <v>827.90697674418607</v>
      </c>
    </row>
    <row r="4080" spans="1:3" x14ac:dyDescent="0.35">
      <c r="A4080" t="s">
        <v>79</v>
      </c>
      <c r="B4080">
        <v>1979</v>
      </c>
      <c r="C4080">
        <v>925.5813953488373</v>
      </c>
    </row>
    <row r="4081" spans="1:3" x14ac:dyDescent="0.35">
      <c r="A4081" t="s">
        <v>79</v>
      </c>
      <c r="B4081">
        <v>1980</v>
      </c>
      <c r="C4081">
        <v>1002.3255813953488</v>
      </c>
    </row>
    <row r="4082" spans="1:3" x14ac:dyDescent="0.35">
      <c r="A4082" t="s">
        <v>79</v>
      </c>
      <c r="B4082">
        <v>1981</v>
      </c>
      <c r="C4082">
        <v>1009.3023255813954</v>
      </c>
    </row>
    <row r="4083" spans="1:3" x14ac:dyDescent="0.35">
      <c r="A4083" t="s">
        <v>79</v>
      </c>
      <c r="B4083">
        <v>1982</v>
      </c>
      <c r="C4083">
        <v>1523.2558139534883</v>
      </c>
    </row>
    <row r="4084" spans="1:3" x14ac:dyDescent="0.35">
      <c r="A4084" t="s">
        <v>79</v>
      </c>
      <c r="B4084">
        <v>1983</v>
      </c>
      <c r="C4084">
        <v>2006.9767441860465</v>
      </c>
    </row>
    <row r="4085" spans="1:3" x14ac:dyDescent="0.35">
      <c r="A4085" t="s">
        <v>79</v>
      </c>
      <c r="B4085">
        <v>1984</v>
      </c>
      <c r="C4085">
        <v>1325.4150473087661</v>
      </c>
    </row>
    <row r="4086" spans="1:3" x14ac:dyDescent="0.35">
      <c r="A4086" t="s">
        <v>79</v>
      </c>
      <c r="B4086">
        <v>1985</v>
      </c>
      <c r="C4086">
        <v>820</v>
      </c>
    </row>
    <row r="4087" spans="1:3" x14ac:dyDescent="0.35">
      <c r="A4087" t="s">
        <v>79</v>
      </c>
      <c r="B4087">
        <v>1986</v>
      </c>
      <c r="C4087">
        <v>1004.536496716081</v>
      </c>
    </row>
    <row r="4088" spans="1:3" x14ac:dyDescent="0.35">
      <c r="A4088" t="s">
        <v>79</v>
      </c>
      <c r="B4088">
        <v>1987</v>
      </c>
      <c r="C4088">
        <v>765.51724137931024</v>
      </c>
    </row>
    <row r="4089" spans="1:3" x14ac:dyDescent="0.35">
      <c r="A4089" t="s">
        <v>79</v>
      </c>
      <c r="B4089">
        <v>1988</v>
      </c>
      <c r="C4089">
        <v>1096.5517241379309</v>
      </c>
    </row>
    <row r="4090" spans="1:3" x14ac:dyDescent="0.35">
      <c r="A4090" t="s">
        <v>79</v>
      </c>
      <c r="B4090">
        <v>1989</v>
      </c>
      <c r="C4090">
        <v>1196.2515529651184</v>
      </c>
    </row>
    <row r="4091" spans="1:3" x14ac:dyDescent="0.35">
      <c r="A4091" t="s">
        <v>79</v>
      </c>
      <c r="B4091">
        <v>1990</v>
      </c>
      <c r="C4091">
        <v>737.87045468601048</v>
      </c>
    </row>
    <row r="4092" spans="1:3" x14ac:dyDescent="0.35">
      <c r="A4092" t="s">
        <v>79</v>
      </c>
      <c r="B4092">
        <v>1991</v>
      </c>
      <c r="C4092">
        <v>983.72195336559616</v>
      </c>
    </row>
    <row r="4093" spans="1:3" x14ac:dyDescent="0.35">
      <c r="A4093" t="s">
        <v>79</v>
      </c>
      <c r="B4093">
        <v>1992</v>
      </c>
      <c r="C4093">
        <v>992.93248497805757</v>
      </c>
    </row>
    <row r="4094" spans="1:3" x14ac:dyDescent="0.35">
      <c r="A4094" t="s">
        <v>79</v>
      </c>
      <c r="B4094">
        <v>1993</v>
      </c>
      <c r="C4094">
        <v>1287.9547608642288</v>
      </c>
    </row>
    <row r="4095" spans="1:3" x14ac:dyDescent="0.35">
      <c r="A4095" t="s">
        <v>79</v>
      </c>
      <c r="B4095">
        <v>1994</v>
      </c>
      <c r="C4095">
        <v>939.68323142082829</v>
      </c>
    </row>
    <row r="4096" spans="1:3" x14ac:dyDescent="0.35">
      <c r="A4096" t="s">
        <v>79</v>
      </c>
      <c r="B4096">
        <v>1995</v>
      </c>
      <c r="C4096">
        <v>1198.8102373870461</v>
      </c>
    </row>
    <row r="4097" spans="1:3" x14ac:dyDescent="0.35">
      <c r="A4097" t="s">
        <v>79</v>
      </c>
      <c r="B4097">
        <v>1996</v>
      </c>
      <c r="C4097">
        <v>733.19755600814665</v>
      </c>
    </row>
    <row r="4098" spans="1:3" x14ac:dyDescent="0.35">
      <c r="A4098" t="s">
        <v>79</v>
      </c>
      <c r="B4098">
        <v>1997</v>
      </c>
      <c r="C4098">
        <v>1541.0338638610165</v>
      </c>
    </row>
    <row r="4099" spans="1:3" x14ac:dyDescent="0.35">
      <c r="A4099" t="s">
        <v>79</v>
      </c>
      <c r="B4099">
        <v>1998</v>
      </c>
      <c r="C4099">
        <v>1450.9639916211167</v>
      </c>
    </row>
    <row r="4100" spans="1:3" x14ac:dyDescent="0.35">
      <c r="A4100" t="s">
        <v>79</v>
      </c>
      <c r="B4100">
        <v>1999</v>
      </c>
      <c r="C4100">
        <v>1408.0647158363945</v>
      </c>
    </row>
    <row r="4101" spans="1:3" x14ac:dyDescent="0.35">
      <c r="A4101" t="s">
        <v>79</v>
      </c>
      <c r="B4101">
        <v>2000</v>
      </c>
      <c r="C4101">
        <v>1788.3220803362517</v>
      </c>
    </row>
    <row r="4102" spans="1:3" x14ac:dyDescent="0.35">
      <c r="A4102" t="s">
        <v>79</v>
      </c>
      <c r="B4102">
        <v>2001</v>
      </c>
      <c r="C4102">
        <v>1911.4001365285812</v>
      </c>
    </row>
    <row r="4103" spans="1:3" x14ac:dyDescent="0.35">
      <c r="A4103" t="s">
        <v>79</v>
      </c>
      <c r="B4103">
        <v>2002</v>
      </c>
      <c r="C4103">
        <v>1071.3639691631854</v>
      </c>
    </row>
    <row r="4104" spans="1:3" x14ac:dyDescent="0.35">
      <c r="A4104" t="s">
        <v>79</v>
      </c>
      <c r="B4104">
        <v>2003</v>
      </c>
      <c r="C4104">
        <v>987.89017772688806</v>
      </c>
    </row>
    <row r="4105" spans="1:3" x14ac:dyDescent="0.35">
      <c r="A4105" t="s">
        <v>79</v>
      </c>
      <c r="B4105">
        <v>2004</v>
      </c>
      <c r="C4105">
        <v>1448.7159829326454</v>
      </c>
    </row>
    <row r="4106" spans="1:3" x14ac:dyDescent="0.35">
      <c r="A4106" t="s">
        <v>79</v>
      </c>
      <c r="B4106">
        <v>2005</v>
      </c>
      <c r="C4106">
        <v>2665.3905969613588</v>
      </c>
    </row>
    <row r="4107" spans="1:3" x14ac:dyDescent="0.35">
      <c r="A4107" t="s">
        <v>79</v>
      </c>
      <c r="B4107">
        <v>2006</v>
      </c>
      <c r="C4107">
        <v>3630.0884955752217</v>
      </c>
    </row>
    <row r="4108" spans="1:3" x14ac:dyDescent="0.35">
      <c r="A4108" t="s">
        <v>79</v>
      </c>
      <c r="B4108">
        <v>2007</v>
      </c>
      <c r="C4108">
        <v>4351.5603167210065</v>
      </c>
    </row>
    <row r="4109" spans="1:3" x14ac:dyDescent="0.35">
      <c r="A4109" t="s">
        <v>79</v>
      </c>
      <c r="B4109">
        <v>2008</v>
      </c>
      <c r="C4109">
        <v>5660.4564508616677</v>
      </c>
    </row>
    <row r="4110" spans="1:3" x14ac:dyDescent="0.35">
      <c r="A4110" t="s">
        <v>79</v>
      </c>
      <c r="B4110">
        <v>2009</v>
      </c>
      <c r="C4110">
        <v>4055.3795994410812</v>
      </c>
    </row>
    <row r="4111" spans="1:3" x14ac:dyDescent="0.35">
      <c r="A4111" t="s">
        <v>79</v>
      </c>
      <c r="B4111">
        <v>2010</v>
      </c>
      <c r="C4111">
        <v>3991.1948347443517</v>
      </c>
    </row>
    <row r="4112" spans="1:3" x14ac:dyDescent="0.35">
      <c r="A4112" t="s">
        <v>79</v>
      </c>
      <c r="B4112">
        <v>2011</v>
      </c>
      <c r="C4112">
        <v>3577.5315874385101</v>
      </c>
    </row>
    <row r="4113" spans="1:3" x14ac:dyDescent="0.35">
      <c r="A4113" t="s">
        <v>79</v>
      </c>
      <c r="B4113">
        <v>2012</v>
      </c>
      <c r="C4113">
        <v>5114.8470999930059</v>
      </c>
    </row>
    <row r="4114" spans="1:3" x14ac:dyDescent="0.35">
      <c r="A4114" t="s">
        <v>79</v>
      </c>
      <c r="B4114">
        <v>2013</v>
      </c>
      <c r="C4114">
        <v>6199.698500155424</v>
      </c>
    </row>
    <row r="4115" spans="1:3" x14ac:dyDescent="0.35">
      <c r="A4115" t="s">
        <v>79</v>
      </c>
      <c r="B4115">
        <v>2014</v>
      </c>
      <c r="C4115">
        <v>1554.7271082393247</v>
      </c>
    </row>
    <row r="4116" spans="1:3" x14ac:dyDescent="0.35">
      <c r="A4116" t="s">
        <v>79</v>
      </c>
      <c r="B4116">
        <v>2015</v>
      </c>
      <c r="C4116">
        <v>320.53915796352351</v>
      </c>
    </row>
    <row r="4117" spans="1:3" x14ac:dyDescent="0.35">
      <c r="A4117" t="s">
        <v>79</v>
      </c>
      <c r="B4117">
        <v>2016</v>
      </c>
      <c r="C4117">
        <v>218.15489292907495</v>
      </c>
    </row>
    <row r="4118" spans="1:3" x14ac:dyDescent="0.35">
      <c r="A4118" t="s">
        <v>79</v>
      </c>
      <c r="B4118">
        <v>2017</v>
      </c>
      <c r="C4118">
        <v>2127.9365964357062</v>
      </c>
    </row>
    <row r="4119" spans="1:3" x14ac:dyDescent="0.35">
      <c r="A4119" t="s">
        <v>80</v>
      </c>
      <c r="B4119">
        <v>1950</v>
      </c>
      <c r="C4119">
        <v>170.80002732800435</v>
      </c>
    </row>
    <row r="4120" spans="1:3" x14ac:dyDescent="0.35">
      <c r="A4120" t="s">
        <v>80</v>
      </c>
      <c r="B4120">
        <v>1951</v>
      </c>
      <c r="C4120">
        <v>294.00004704000753</v>
      </c>
    </row>
    <row r="4121" spans="1:3" x14ac:dyDescent="0.35">
      <c r="A4121" t="s">
        <v>80</v>
      </c>
      <c r="B4121">
        <v>1952</v>
      </c>
      <c r="C4121">
        <v>440.16007042561125</v>
      </c>
    </row>
    <row r="4122" spans="1:3" x14ac:dyDescent="0.35">
      <c r="A4122" t="s">
        <v>80</v>
      </c>
      <c r="B4122">
        <v>1953</v>
      </c>
      <c r="C4122">
        <v>462.0000739200118</v>
      </c>
    </row>
    <row r="4123" spans="1:3" x14ac:dyDescent="0.35">
      <c r="A4123" t="s">
        <v>80</v>
      </c>
      <c r="B4123">
        <v>1954</v>
      </c>
      <c r="C4123">
        <v>417.20006675201068</v>
      </c>
    </row>
    <row r="4124" spans="1:3" x14ac:dyDescent="0.35">
      <c r="A4124" t="s">
        <v>80</v>
      </c>
      <c r="B4124">
        <v>1955</v>
      </c>
      <c r="C4124">
        <v>432.32006917121106</v>
      </c>
    </row>
    <row r="4125" spans="1:3" x14ac:dyDescent="0.35">
      <c r="A4125" t="s">
        <v>80</v>
      </c>
      <c r="B4125">
        <v>1956</v>
      </c>
      <c r="C4125">
        <v>445.2000712320114</v>
      </c>
    </row>
    <row r="4126" spans="1:3" x14ac:dyDescent="0.35">
      <c r="A4126" t="s">
        <v>80</v>
      </c>
      <c r="B4126">
        <v>1957</v>
      </c>
      <c r="C4126">
        <v>437.92007006721121</v>
      </c>
    </row>
    <row r="4127" spans="1:3" x14ac:dyDescent="0.35">
      <c r="A4127" t="s">
        <v>80</v>
      </c>
      <c r="B4127">
        <v>1958</v>
      </c>
      <c r="C4127">
        <v>439.60007033601124</v>
      </c>
    </row>
    <row r="4128" spans="1:3" x14ac:dyDescent="0.35">
      <c r="A4128" t="s">
        <v>80</v>
      </c>
      <c r="B4128">
        <v>1959</v>
      </c>
      <c r="C4128">
        <v>450.24007203841148</v>
      </c>
    </row>
    <row r="4129" spans="1:3" x14ac:dyDescent="0.35">
      <c r="A4129" t="s">
        <v>80</v>
      </c>
      <c r="B4129">
        <v>1960</v>
      </c>
      <c r="C4129">
        <v>459.76007356161176</v>
      </c>
    </row>
    <row r="4130" spans="1:3" x14ac:dyDescent="0.35">
      <c r="A4130" t="s">
        <v>80</v>
      </c>
      <c r="B4130">
        <v>1961</v>
      </c>
      <c r="C4130">
        <v>470.96007535361207</v>
      </c>
    </row>
    <row r="4131" spans="1:3" x14ac:dyDescent="0.35">
      <c r="A4131" t="s">
        <v>80</v>
      </c>
      <c r="B4131">
        <v>1962</v>
      </c>
      <c r="C4131">
        <v>489.4400783104125</v>
      </c>
    </row>
    <row r="4132" spans="1:3" x14ac:dyDescent="0.35">
      <c r="A4132" t="s">
        <v>80</v>
      </c>
      <c r="B4132">
        <v>1963</v>
      </c>
      <c r="C4132">
        <v>553.28008852481412</v>
      </c>
    </row>
    <row r="4133" spans="1:3" x14ac:dyDescent="0.35">
      <c r="A4133" t="s">
        <v>80</v>
      </c>
      <c r="B4133">
        <v>1964</v>
      </c>
      <c r="C4133">
        <v>655.76010492161674</v>
      </c>
    </row>
    <row r="4134" spans="1:3" x14ac:dyDescent="0.35">
      <c r="A4134" t="s">
        <v>80</v>
      </c>
      <c r="B4134">
        <v>1965</v>
      </c>
      <c r="C4134">
        <v>787.3601259776201</v>
      </c>
    </row>
    <row r="4135" spans="1:3" x14ac:dyDescent="0.35">
      <c r="A4135" t="s">
        <v>80</v>
      </c>
      <c r="B4135">
        <v>1966</v>
      </c>
      <c r="C4135">
        <v>986.72015787522525</v>
      </c>
    </row>
    <row r="4136" spans="1:3" x14ac:dyDescent="0.35">
      <c r="A4136" t="s">
        <v>80</v>
      </c>
      <c r="B4136">
        <v>1967</v>
      </c>
      <c r="C4136">
        <v>1197.8401916544306</v>
      </c>
    </row>
    <row r="4137" spans="1:3" x14ac:dyDescent="0.35">
      <c r="A4137" t="s">
        <v>80</v>
      </c>
      <c r="B4137">
        <v>1968</v>
      </c>
      <c r="C4137">
        <v>1321.6002114560338</v>
      </c>
    </row>
    <row r="4138" spans="1:3" x14ac:dyDescent="0.35">
      <c r="A4138" t="s">
        <v>80</v>
      </c>
      <c r="B4138">
        <v>1969</v>
      </c>
      <c r="C4138">
        <v>1314.8802103808337</v>
      </c>
    </row>
    <row r="4139" spans="1:3" x14ac:dyDescent="0.35">
      <c r="A4139" t="s">
        <v>80</v>
      </c>
      <c r="B4139">
        <v>1970</v>
      </c>
      <c r="C4139">
        <v>1277.3602043776327</v>
      </c>
    </row>
    <row r="4140" spans="1:3" x14ac:dyDescent="0.35">
      <c r="A4140" t="s">
        <v>80</v>
      </c>
      <c r="B4140">
        <v>1971</v>
      </c>
      <c r="C4140">
        <v>1331.7547894456591</v>
      </c>
    </row>
    <row r="4141" spans="1:3" x14ac:dyDescent="0.35">
      <c r="A4141" t="s">
        <v>80</v>
      </c>
      <c r="B4141">
        <v>1972</v>
      </c>
      <c r="C4141">
        <v>1484.4437449475258</v>
      </c>
    </row>
    <row r="4142" spans="1:3" x14ac:dyDescent="0.35">
      <c r="A4142" t="s">
        <v>80</v>
      </c>
      <c r="B4142">
        <v>1973</v>
      </c>
      <c r="C4142">
        <v>1855.7293065926362</v>
      </c>
    </row>
    <row r="4143" spans="1:3" x14ac:dyDescent="0.35">
      <c r="A4143" t="s">
        <v>80</v>
      </c>
      <c r="B4143">
        <v>1974</v>
      </c>
      <c r="C4143">
        <v>2127.274762942357</v>
      </c>
    </row>
    <row r="4144" spans="1:3" x14ac:dyDescent="0.35">
      <c r="A4144" t="s">
        <v>80</v>
      </c>
      <c r="B4144">
        <v>1975</v>
      </c>
      <c r="C4144">
        <v>2268.7076744633582</v>
      </c>
    </row>
    <row r="4145" spans="1:3" x14ac:dyDescent="0.35">
      <c r="A4145" t="s">
        <v>80</v>
      </c>
      <c r="B4145">
        <v>1976</v>
      </c>
      <c r="C4145">
        <v>2441.0840246173702</v>
      </c>
    </row>
    <row r="4146" spans="1:3" x14ac:dyDescent="0.35">
      <c r="A4146" t="s">
        <v>80</v>
      </c>
      <c r="B4146">
        <v>1977</v>
      </c>
      <c r="C4146">
        <v>2500.4851273805893</v>
      </c>
    </row>
    <row r="4147" spans="1:3" x14ac:dyDescent="0.35">
      <c r="A4147" t="s">
        <v>80</v>
      </c>
      <c r="B4147">
        <v>1978</v>
      </c>
      <c r="C4147">
        <v>2816.3162057507561</v>
      </c>
    </row>
    <row r="4148" spans="1:3" x14ac:dyDescent="0.35">
      <c r="A4148" t="s">
        <v>80</v>
      </c>
      <c r="B4148">
        <v>1979</v>
      </c>
      <c r="C4148">
        <v>3100.6850792664318</v>
      </c>
    </row>
    <row r="4149" spans="1:3" x14ac:dyDescent="0.35">
      <c r="A4149" t="s">
        <v>80</v>
      </c>
      <c r="B4149">
        <v>1980</v>
      </c>
      <c r="C4149">
        <v>3657.8672897281394</v>
      </c>
    </row>
    <row r="4150" spans="1:3" x14ac:dyDescent="0.35">
      <c r="A4150" t="s">
        <v>80</v>
      </c>
      <c r="B4150">
        <v>1981</v>
      </c>
      <c r="C4150">
        <v>4323.6441569037543</v>
      </c>
    </row>
    <row r="4151" spans="1:3" x14ac:dyDescent="0.35">
      <c r="A4151" t="s">
        <v>80</v>
      </c>
      <c r="B4151">
        <v>1982</v>
      </c>
      <c r="C4151">
        <v>4459.5445817522304</v>
      </c>
    </row>
    <row r="4152" spans="1:3" x14ac:dyDescent="0.35">
      <c r="A4152" t="s">
        <v>80</v>
      </c>
      <c r="B4152">
        <v>1983</v>
      </c>
      <c r="C4152">
        <v>4511.6710660264316</v>
      </c>
    </row>
    <row r="4153" spans="1:3" x14ac:dyDescent="0.35">
      <c r="A4153" t="s">
        <v>80</v>
      </c>
      <c r="B4153">
        <v>1984</v>
      </c>
      <c r="C4153">
        <v>4925.3194327436113</v>
      </c>
    </row>
    <row r="4154" spans="1:3" x14ac:dyDescent="0.35">
      <c r="A4154" t="s">
        <v>80</v>
      </c>
      <c r="B4154">
        <v>1985</v>
      </c>
      <c r="C4154">
        <v>4386.8593257861985</v>
      </c>
    </row>
    <row r="4155" spans="1:3" x14ac:dyDescent="0.35">
      <c r="A4155" t="s">
        <v>80</v>
      </c>
      <c r="B4155">
        <v>1986</v>
      </c>
      <c r="C4155">
        <v>4606.7100276075062</v>
      </c>
    </row>
    <row r="4156" spans="1:3" x14ac:dyDescent="0.35">
      <c r="A4156" t="s">
        <v>80</v>
      </c>
      <c r="B4156">
        <v>1987</v>
      </c>
      <c r="C4156">
        <v>5057.1356551695162</v>
      </c>
    </row>
    <row r="4157" spans="1:3" x14ac:dyDescent="0.35">
      <c r="A4157" t="s">
        <v>80</v>
      </c>
      <c r="B4157">
        <v>1988</v>
      </c>
      <c r="C4157">
        <v>5836.3478682094828</v>
      </c>
    </row>
    <row r="4158" spans="1:3" x14ac:dyDescent="0.35">
      <c r="A4158" t="s">
        <v>80</v>
      </c>
      <c r="B4158">
        <v>1989</v>
      </c>
      <c r="C4158">
        <v>6300.0158152775584</v>
      </c>
    </row>
    <row r="4159" spans="1:3" x14ac:dyDescent="0.35">
      <c r="A4159" t="s">
        <v>80</v>
      </c>
      <c r="B4159">
        <v>1990</v>
      </c>
      <c r="C4159">
        <v>6704.213698031318</v>
      </c>
    </row>
    <row r="4160" spans="1:3" x14ac:dyDescent="0.35">
      <c r="A4160" t="s">
        <v>80</v>
      </c>
      <c r="B4160">
        <v>1991</v>
      </c>
      <c r="C4160">
        <v>7023.5090671153484</v>
      </c>
    </row>
    <row r="4161" spans="1:3" x14ac:dyDescent="0.35">
      <c r="A4161" t="s">
        <v>80</v>
      </c>
      <c r="B4161">
        <v>1992</v>
      </c>
      <c r="C4161">
        <v>6882.0915800682997</v>
      </c>
    </row>
    <row r="4162" spans="1:3" x14ac:dyDescent="0.35">
      <c r="A4162" t="s">
        <v>80</v>
      </c>
      <c r="B4162">
        <v>1993</v>
      </c>
      <c r="C4162">
        <v>6733.8292895223585</v>
      </c>
    </row>
    <row r="4163" spans="1:3" x14ac:dyDescent="0.35">
      <c r="A4163" t="s">
        <v>80</v>
      </c>
      <c r="B4163">
        <v>1994</v>
      </c>
      <c r="C4163">
        <v>7459.6965819777006</v>
      </c>
    </row>
    <row r="4164" spans="1:3" x14ac:dyDescent="0.35">
      <c r="A4164" t="s">
        <v>80</v>
      </c>
      <c r="B4164">
        <v>1995</v>
      </c>
      <c r="C4164">
        <v>7665.87844599453</v>
      </c>
    </row>
    <row r="4165" spans="1:3" x14ac:dyDescent="0.35">
      <c r="A4165" t="s">
        <v>80</v>
      </c>
      <c r="B4165">
        <v>1996</v>
      </c>
      <c r="C4165">
        <v>8202.776516989341</v>
      </c>
    </row>
    <row r="4166" spans="1:3" x14ac:dyDescent="0.35">
      <c r="A4166" t="s">
        <v>80</v>
      </c>
      <c r="B4166">
        <v>1997</v>
      </c>
      <c r="C4166">
        <v>7936.8849173952403</v>
      </c>
    </row>
    <row r="4167" spans="1:3" x14ac:dyDescent="0.35">
      <c r="A4167" t="s">
        <v>80</v>
      </c>
      <c r="B4167">
        <v>1998</v>
      </c>
      <c r="C4167">
        <v>7107.5428908865888</v>
      </c>
    </row>
    <row r="4168" spans="1:3" x14ac:dyDescent="0.35">
      <c r="A4168" t="s">
        <v>80</v>
      </c>
      <c r="B4168">
        <v>1999</v>
      </c>
      <c r="C4168">
        <v>7770.2506532468797</v>
      </c>
    </row>
    <row r="4169" spans="1:3" x14ac:dyDescent="0.35">
      <c r="A4169" t="s">
        <v>80</v>
      </c>
      <c r="B4169">
        <v>2000</v>
      </c>
      <c r="C4169">
        <v>7273.7603126105178</v>
      </c>
    </row>
    <row r="4170" spans="1:3" x14ac:dyDescent="0.35">
      <c r="A4170" t="s">
        <v>80</v>
      </c>
      <c r="B4170">
        <v>2001</v>
      </c>
      <c r="C4170">
        <v>7043.145895398874</v>
      </c>
    </row>
    <row r="4171" spans="1:3" x14ac:dyDescent="0.35">
      <c r="A4171" t="s">
        <v>80</v>
      </c>
      <c r="B4171">
        <v>2002</v>
      </c>
      <c r="C4171">
        <v>7946.7662015908199</v>
      </c>
    </row>
    <row r="4172" spans="1:3" x14ac:dyDescent="0.35">
      <c r="A4172" t="s">
        <v>80</v>
      </c>
      <c r="B4172">
        <v>2003</v>
      </c>
      <c r="C4172">
        <v>9926.6494153355252</v>
      </c>
    </row>
    <row r="4173" spans="1:3" x14ac:dyDescent="0.35">
      <c r="A4173" t="s">
        <v>80</v>
      </c>
      <c r="B4173">
        <v>2004</v>
      </c>
      <c r="C4173">
        <v>11995.219709505425</v>
      </c>
    </row>
    <row r="4174" spans="1:3" x14ac:dyDescent="0.35">
      <c r="A4174" t="s">
        <v>80</v>
      </c>
      <c r="B4174">
        <v>2005</v>
      </c>
      <c r="C4174">
        <v>13237.798498629218</v>
      </c>
    </row>
    <row r="4175" spans="1:3" x14ac:dyDescent="0.35">
      <c r="A4175" t="s">
        <v>80</v>
      </c>
      <c r="B4175">
        <v>2006</v>
      </c>
      <c r="C4175">
        <v>14239.779513091409</v>
      </c>
    </row>
    <row r="4176" spans="1:3" x14ac:dyDescent="0.35">
      <c r="A4176" t="s">
        <v>80</v>
      </c>
      <c r="B4176">
        <v>2007</v>
      </c>
      <c r="C4176">
        <v>17186.440961617311</v>
      </c>
    </row>
    <row r="4177" spans="1:3" x14ac:dyDescent="0.35">
      <c r="A4177" t="s">
        <v>80</v>
      </c>
      <c r="B4177">
        <v>2008</v>
      </c>
      <c r="C4177">
        <v>18633.092318274084</v>
      </c>
    </row>
    <row r="4178" spans="1:3" x14ac:dyDescent="0.35">
      <c r="A4178" t="s">
        <v>80</v>
      </c>
      <c r="B4178">
        <v>2009</v>
      </c>
      <c r="C4178">
        <v>18960.138513012895</v>
      </c>
    </row>
    <row r="4179" spans="1:3" x14ac:dyDescent="0.35">
      <c r="A4179" t="s">
        <v>80</v>
      </c>
      <c r="B4179">
        <v>2010</v>
      </c>
      <c r="C4179">
        <v>23217.69281573347</v>
      </c>
    </row>
    <row r="4180" spans="1:3" x14ac:dyDescent="0.35">
      <c r="A4180" t="s">
        <v>80</v>
      </c>
      <c r="B4180">
        <v>2011</v>
      </c>
      <c r="C4180">
        <v>26597.198655338059</v>
      </c>
    </row>
    <row r="4181" spans="1:3" x14ac:dyDescent="0.35">
      <c r="A4181" t="s">
        <v>80</v>
      </c>
      <c r="B4181">
        <v>2012</v>
      </c>
      <c r="C4181">
        <v>26216.580848435649</v>
      </c>
    </row>
    <row r="4182" spans="1:3" x14ac:dyDescent="0.35">
      <c r="A4182" t="s">
        <v>80</v>
      </c>
      <c r="B4182">
        <v>2013</v>
      </c>
      <c r="C4182">
        <v>24825.262588816804</v>
      </c>
    </row>
    <row r="4183" spans="1:3" x14ac:dyDescent="0.35">
      <c r="A4183" t="s">
        <v>80</v>
      </c>
      <c r="B4183">
        <v>2014</v>
      </c>
      <c r="C4183">
        <v>25783.708714004188</v>
      </c>
    </row>
    <row r="4184" spans="1:3" x14ac:dyDescent="0.35">
      <c r="A4184" t="s">
        <v>80</v>
      </c>
      <c r="B4184">
        <v>2015</v>
      </c>
      <c r="C4184">
        <v>24046.205860255446</v>
      </c>
    </row>
    <row r="4185" spans="1:3" x14ac:dyDescent="0.35">
      <c r="A4185" t="s">
        <v>80</v>
      </c>
      <c r="B4185">
        <v>2016</v>
      </c>
      <c r="C4185">
        <v>26382.947050018291</v>
      </c>
    </row>
    <row r="4186" spans="1:3" x14ac:dyDescent="0.35">
      <c r="A4186" t="s">
        <v>80</v>
      </c>
      <c r="B4186">
        <v>2017</v>
      </c>
      <c r="C4186">
        <v>27691.112416851542</v>
      </c>
    </row>
    <row r="4187" spans="1:3" x14ac:dyDescent="0.35">
      <c r="A4187" t="s">
        <v>80</v>
      </c>
      <c r="B4187">
        <v>2018</v>
      </c>
      <c r="C4187">
        <v>26839.820914401793</v>
      </c>
    </row>
    <row r="4188" spans="1:3" x14ac:dyDescent="0.35">
      <c r="A4188" t="s">
        <v>80</v>
      </c>
      <c r="B4188">
        <v>2019</v>
      </c>
      <c r="C4188">
        <v>26079.346314325456</v>
      </c>
    </row>
    <row r="4189" spans="1:3" x14ac:dyDescent="0.35">
      <c r="A4189" t="s">
        <v>80</v>
      </c>
      <c r="B4189">
        <v>2020</v>
      </c>
      <c r="C4189">
        <v>27300.894700619407</v>
      </c>
    </row>
    <row r="4190" spans="1:3" x14ac:dyDescent="0.35">
      <c r="A4190" t="s">
        <v>80</v>
      </c>
      <c r="B4190">
        <v>2021</v>
      </c>
      <c r="C4190">
        <v>32718.066816816816</v>
      </c>
    </row>
    <row r="4191" spans="1:3" x14ac:dyDescent="0.35">
      <c r="A4191" t="s">
        <v>80</v>
      </c>
      <c r="B4191">
        <v>2022</v>
      </c>
      <c r="C4191">
        <v>32445.330432014027</v>
      </c>
    </row>
    <row r="4192" spans="1:3" x14ac:dyDescent="0.35">
      <c r="A4192" t="s">
        <v>80</v>
      </c>
      <c r="B4192">
        <v>2023</v>
      </c>
      <c r="C4192">
        <v>32387.989797745951</v>
      </c>
    </row>
    <row r="4193" spans="1:3" x14ac:dyDescent="0.35">
      <c r="A4193" t="s">
        <v>80</v>
      </c>
      <c r="B4193">
        <v>2024</v>
      </c>
      <c r="C4193">
        <v>34231.448067172023</v>
      </c>
    </row>
    <row r="4194" spans="1:3" x14ac:dyDescent="0.35">
      <c r="A4194" t="s">
        <v>80</v>
      </c>
      <c r="B4194">
        <v>2025</v>
      </c>
      <c r="C4194">
        <v>35326.559811295221</v>
      </c>
    </row>
    <row r="4195" spans="1:3" x14ac:dyDescent="0.35">
      <c r="A4195" t="s">
        <v>81</v>
      </c>
      <c r="B4195">
        <v>1970</v>
      </c>
      <c r="C4195">
        <v>0.41339681271057399</v>
      </c>
    </row>
    <row r="4196" spans="1:3" x14ac:dyDescent="0.35">
      <c r="A4196" t="s">
        <v>81</v>
      </c>
      <c r="B4196">
        <v>1971</v>
      </c>
      <c r="C4196">
        <v>0.5356167685308848</v>
      </c>
    </row>
    <row r="4197" spans="1:3" x14ac:dyDescent="0.35">
      <c r="A4197" t="s">
        <v>81</v>
      </c>
      <c r="B4197">
        <v>1972</v>
      </c>
      <c r="C4197">
        <v>0.78770310621631057</v>
      </c>
    </row>
    <row r="4198" spans="1:3" x14ac:dyDescent="0.35">
      <c r="A4198" t="s">
        <v>81</v>
      </c>
      <c r="B4198">
        <v>1973</v>
      </c>
      <c r="C4198">
        <v>0.93172706944136663</v>
      </c>
    </row>
    <row r="4199" spans="1:3" x14ac:dyDescent="0.35">
      <c r="A4199" t="s">
        <v>81</v>
      </c>
      <c r="B4199">
        <v>1974</v>
      </c>
      <c r="C4199">
        <v>1.3530220803273074</v>
      </c>
    </row>
    <row r="4200" spans="1:3" x14ac:dyDescent="0.35">
      <c r="A4200" t="s">
        <v>81</v>
      </c>
      <c r="B4200">
        <v>1975</v>
      </c>
      <c r="C4200">
        <v>2.0562537490129373</v>
      </c>
    </row>
    <row r="4201" spans="1:3" x14ac:dyDescent="0.35">
      <c r="A4201" t="s">
        <v>81</v>
      </c>
      <c r="B4201">
        <v>1976</v>
      </c>
      <c r="C4201">
        <v>2.7514300195496344</v>
      </c>
    </row>
    <row r="4202" spans="1:3" x14ac:dyDescent="0.35">
      <c r="A4202" t="s">
        <v>81</v>
      </c>
      <c r="B4202">
        <v>1977</v>
      </c>
      <c r="C4202">
        <v>3.6514649459365187</v>
      </c>
    </row>
    <row r="4203" spans="1:3" x14ac:dyDescent="0.35">
      <c r="A4203" t="s">
        <v>81</v>
      </c>
      <c r="B4203">
        <v>1978</v>
      </c>
      <c r="C4203">
        <v>7.2392653976104508</v>
      </c>
    </row>
    <row r="4204" spans="1:3" x14ac:dyDescent="0.35">
      <c r="A4204" t="s">
        <v>81</v>
      </c>
      <c r="B4204">
        <v>1979</v>
      </c>
      <c r="C4204">
        <v>9.5723206775288574</v>
      </c>
    </row>
    <row r="4205" spans="1:3" x14ac:dyDescent="0.35">
      <c r="A4205" t="s">
        <v>81</v>
      </c>
      <c r="B4205">
        <v>1980</v>
      </c>
      <c r="C4205">
        <v>10.367191750258261</v>
      </c>
    </row>
    <row r="4206" spans="1:3" x14ac:dyDescent="0.35">
      <c r="A4206" t="s">
        <v>81</v>
      </c>
      <c r="B4206">
        <v>1981</v>
      </c>
      <c r="C4206">
        <v>11.361681762921133</v>
      </c>
    </row>
    <row r="4207" spans="1:3" x14ac:dyDescent="0.35">
      <c r="A4207" t="s">
        <v>81</v>
      </c>
      <c r="B4207">
        <v>1982</v>
      </c>
      <c r="C4207">
        <v>14.939154849219635</v>
      </c>
    </row>
    <row r="4208" spans="1:3" x14ac:dyDescent="0.35">
      <c r="A4208" t="s">
        <v>81</v>
      </c>
      <c r="B4208">
        <v>1983</v>
      </c>
      <c r="C4208">
        <v>15.102947827967984</v>
      </c>
    </row>
    <row r="4209" spans="1:3" x14ac:dyDescent="0.35">
      <c r="A4209" t="s">
        <v>81</v>
      </c>
      <c r="B4209">
        <v>1984</v>
      </c>
      <c r="C4209">
        <v>15.601330131165712</v>
      </c>
    </row>
    <row r="4210" spans="1:3" x14ac:dyDescent="0.35">
      <c r="A4210" t="s">
        <v>81</v>
      </c>
      <c r="B4210">
        <v>1985</v>
      </c>
      <c r="C4210">
        <v>14.008928958432664</v>
      </c>
    </row>
    <row r="4211" spans="1:3" x14ac:dyDescent="0.35">
      <c r="A4211" t="s">
        <v>81</v>
      </c>
      <c r="B4211">
        <v>1986</v>
      </c>
      <c r="C4211">
        <v>14.591259367800365</v>
      </c>
    </row>
    <row r="4212" spans="1:3" x14ac:dyDescent="0.35">
      <c r="A4212" t="s">
        <v>81</v>
      </c>
      <c r="B4212">
        <v>1987</v>
      </c>
      <c r="C4212">
        <v>25.131445661087259</v>
      </c>
    </row>
    <row r="4213" spans="1:3" x14ac:dyDescent="0.35">
      <c r="A4213" t="s">
        <v>81</v>
      </c>
      <c r="B4213">
        <v>1988</v>
      </c>
      <c r="C4213">
        <v>24.673835526407785</v>
      </c>
    </row>
    <row r="4214" spans="1:3" x14ac:dyDescent="0.35">
      <c r="A4214" t="s">
        <v>81</v>
      </c>
      <c r="B4214">
        <v>1989</v>
      </c>
      <c r="C4214">
        <v>29.083211422947016</v>
      </c>
    </row>
    <row r="4215" spans="1:3" x14ac:dyDescent="0.35">
      <c r="A4215" t="s">
        <v>81</v>
      </c>
      <c r="B4215">
        <v>1990</v>
      </c>
      <c r="C4215">
        <v>30.542031588685337</v>
      </c>
    </row>
    <row r="4216" spans="1:3" x14ac:dyDescent="0.35">
      <c r="A4216" t="s">
        <v>81</v>
      </c>
      <c r="B4216">
        <v>1991</v>
      </c>
      <c r="C4216">
        <v>32.482582883786499</v>
      </c>
    </row>
    <row r="4217" spans="1:3" x14ac:dyDescent="0.35">
      <c r="A4217" t="s">
        <v>81</v>
      </c>
      <c r="B4217">
        <v>1992</v>
      </c>
      <c r="C4217">
        <v>30.539125343481992</v>
      </c>
    </row>
    <row r="4218" spans="1:3" x14ac:dyDescent="0.35">
      <c r="A4218" t="s">
        <v>81</v>
      </c>
      <c r="B4218">
        <v>1993</v>
      </c>
      <c r="C4218">
        <v>32.041095623860883</v>
      </c>
    </row>
    <row r="4219" spans="1:3" x14ac:dyDescent="0.35">
      <c r="A4219" t="s">
        <v>81</v>
      </c>
      <c r="B4219">
        <v>1994</v>
      </c>
      <c r="C4219">
        <v>33.665273338250955</v>
      </c>
    </row>
    <row r="4220" spans="1:3" x14ac:dyDescent="0.35">
      <c r="A4220" t="s">
        <v>81</v>
      </c>
      <c r="B4220">
        <v>1995</v>
      </c>
      <c r="C4220">
        <v>34.700248163660021</v>
      </c>
    </row>
    <row r="4221" spans="1:3" x14ac:dyDescent="0.35">
      <c r="A4221" t="s">
        <v>81</v>
      </c>
      <c r="B4221">
        <v>1996</v>
      </c>
      <c r="C4221">
        <v>32.851136606570229</v>
      </c>
    </row>
    <row r="4222" spans="1:3" x14ac:dyDescent="0.35">
      <c r="A4222" t="s">
        <v>81</v>
      </c>
      <c r="B4222">
        <v>1997</v>
      </c>
      <c r="C4222">
        <v>30.962540175108057</v>
      </c>
    </row>
    <row r="4223" spans="1:3" x14ac:dyDescent="0.35">
      <c r="A4223" t="s">
        <v>81</v>
      </c>
      <c r="B4223">
        <v>1998</v>
      </c>
      <c r="C4223">
        <v>22.598926928458543</v>
      </c>
    </row>
    <row r="4224" spans="1:3" x14ac:dyDescent="0.35">
      <c r="A4224" t="s">
        <v>81</v>
      </c>
      <c r="B4224">
        <v>1999</v>
      </c>
      <c r="C4224">
        <v>23.811699718727468</v>
      </c>
    </row>
    <row r="4225" spans="1:3" x14ac:dyDescent="0.35">
      <c r="A4225" t="s">
        <v>81</v>
      </c>
      <c r="B4225">
        <v>2000</v>
      </c>
      <c r="C4225">
        <v>32.039537352838927</v>
      </c>
    </row>
    <row r="4226" spans="1:3" x14ac:dyDescent="0.35">
      <c r="A4226" t="s">
        <v>81</v>
      </c>
      <c r="B4226">
        <v>2001</v>
      </c>
      <c r="C4226">
        <v>32.811655824617965</v>
      </c>
    </row>
    <row r="4227" spans="1:3" x14ac:dyDescent="0.35">
      <c r="A4227" t="s">
        <v>81</v>
      </c>
      <c r="B4227">
        <v>2002</v>
      </c>
      <c r="C4227">
        <v>30.9143042680947</v>
      </c>
    </row>
    <row r="4228" spans="1:3" x14ac:dyDescent="0.35">
      <c r="A4228" t="s">
        <v>81</v>
      </c>
      <c r="B4228">
        <v>2003</v>
      </c>
      <c r="C4228">
        <v>37.296898079763665</v>
      </c>
    </row>
    <row r="4229" spans="1:3" x14ac:dyDescent="0.35">
      <c r="A4229" t="s">
        <v>81</v>
      </c>
      <c r="B4229">
        <v>2004</v>
      </c>
      <c r="C4229">
        <v>46.798811275570557</v>
      </c>
    </row>
    <row r="4230" spans="1:3" x14ac:dyDescent="0.35">
      <c r="A4230" t="s">
        <v>81</v>
      </c>
      <c r="B4230">
        <v>2005</v>
      </c>
      <c r="C4230">
        <v>43.111350290070192</v>
      </c>
    </row>
    <row r="4231" spans="1:3" x14ac:dyDescent="0.35">
      <c r="A4231" t="s">
        <v>81</v>
      </c>
      <c r="B4231">
        <v>2006</v>
      </c>
      <c r="C4231">
        <v>54.067168058780716</v>
      </c>
    </row>
    <row r="4232" spans="1:3" x14ac:dyDescent="0.35">
      <c r="A4232" t="s">
        <v>81</v>
      </c>
      <c r="B4232">
        <v>2007</v>
      </c>
      <c r="C4232">
        <v>75.576918299923008</v>
      </c>
    </row>
    <row r="4233" spans="1:3" x14ac:dyDescent="0.35">
      <c r="A4233" t="s">
        <v>81</v>
      </c>
      <c r="B4233">
        <v>2008</v>
      </c>
      <c r="C4233">
        <v>53.585658620451653</v>
      </c>
    </row>
    <row r="4234" spans="1:3" x14ac:dyDescent="0.35">
      <c r="A4234" t="s">
        <v>81</v>
      </c>
      <c r="B4234">
        <v>2009</v>
      </c>
      <c r="C4234">
        <v>51.28572232079398</v>
      </c>
    </row>
    <row r="4235" spans="1:3" x14ac:dyDescent="0.35">
      <c r="A4235" t="s">
        <v>81</v>
      </c>
      <c r="B4235">
        <v>2010</v>
      </c>
      <c r="C4235">
        <v>50.408953714467422</v>
      </c>
    </row>
    <row r="4236" spans="1:3" x14ac:dyDescent="0.35">
      <c r="A4236" t="s">
        <v>81</v>
      </c>
      <c r="B4236">
        <v>2011</v>
      </c>
      <c r="C4236">
        <v>60.785527467808762</v>
      </c>
    </row>
    <row r="4237" spans="1:3" x14ac:dyDescent="0.35">
      <c r="A4237" t="s">
        <v>81</v>
      </c>
      <c r="B4237">
        <v>2012</v>
      </c>
      <c r="C4237">
        <v>59.221516406036123</v>
      </c>
    </row>
    <row r="4238" spans="1:3" x14ac:dyDescent="0.35">
      <c r="A4238" t="s">
        <v>81</v>
      </c>
      <c r="B4238">
        <v>2013</v>
      </c>
      <c r="C4238">
        <v>58.10827689951612</v>
      </c>
    </row>
    <row r="4239" spans="1:3" x14ac:dyDescent="0.35">
      <c r="A4239" t="s">
        <v>81</v>
      </c>
      <c r="B4239">
        <v>2014</v>
      </c>
      <c r="C4239">
        <v>74.787941127215788</v>
      </c>
    </row>
    <row r="4240" spans="1:3" x14ac:dyDescent="0.35">
      <c r="A4240" t="s">
        <v>81</v>
      </c>
      <c r="B4240">
        <v>2015</v>
      </c>
      <c r="C4240">
        <v>42.617557603511528</v>
      </c>
    </row>
    <row r="4241" spans="1:3" x14ac:dyDescent="0.35">
      <c r="A4241" t="s">
        <v>81</v>
      </c>
      <c r="B4241">
        <v>2016</v>
      </c>
      <c r="C4241">
        <v>54.411608003680406</v>
      </c>
    </row>
    <row r="4242" spans="1:3" x14ac:dyDescent="0.35">
      <c r="A4242" t="s">
        <v>81</v>
      </c>
      <c r="B4242">
        <v>2017</v>
      </c>
      <c r="C4242">
        <v>75.276555011565833</v>
      </c>
    </row>
    <row r="4243" spans="1:3" x14ac:dyDescent="0.35">
      <c r="A4243" t="s">
        <v>81</v>
      </c>
      <c r="B4243">
        <v>2018</v>
      </c>
      <c r="C4243">
        <v>81.378313570935234</v>
      </c>
    </row>
    <row r="4244" spans="1:3" x14ac:dyDescent="0.35">
      <c r="A4244" t="s">
        <v>81</v>
      </c>
      <c r="B4244">
        <v>2019</v>
      </c>
      <c r="C4244">
        <v>79.022198977219915</v>
      </c>
    </row>
    <row r="4245" spans="1:3" x14ac:dyDescent="0.35">
      <c r="A4245" t="s">
        <v>81</v>
      </c>
      <c r="B4245">
        <v>2020</v>
      </c>
      <c r="C4245">
        <v>71.181003997539989</v>
      </c>
    </row>
    <row r="4246" spans="1:3" x14ac:dyDescent="0.35">
      <c r="A4246" t="s">
        <v>81</v>
      </c>
      <c r="B4246">
        <v>2021</v>
      </c>
      <c r="C4246">
        <v>68.726851851851862</v>
      </c>
    </row>
    <row r="4247" spans="1:3" x14ac:dyDescent="0.35">
      <c r="A4247" t="s">
        <v>81</v>
      </c>
      <c r="B4247">
        <v>2022</v>
      </c>
      <c r="C4247">
        <v>67.772925474720168</v>
      </c>
    </row>
    <row r="4248" spans="1:3" x14ac:dyDescent="0.35">
      <c r="A4248" t="s">
        <v>81</v>
      </c>
      <c r="B4248">
        <v>2023</v>
      </c>
      <c r="C4248">
        <v>73.051026794807683</v>
      </c>
    </row>
    <row r="4249" spans="1:3" x14ac:dyDescent="0.35">
      <c r="A4249" t="s">
        <v>81</v>
      </c>
      <c r="B4249">
        <v>2024</v>
      </c>
      <c r="C4249">
        <v>77.45407353524665</v>
      </c>
    </row>
    <row r="4250" spans="1:3" x14ac:dyDescent="0.35">
      <c r="A4250" t="s">
        <v>81</v>
      </c>
      <c r="B4250">
        <v>2025</v>
      </c>
      <c r="C4250">
        <v>81.159432223573859</v>
      </c>
    </row>
    <row r="4251" spans="1:3" x14ac:dyDescent="0.35">
      <c r="A4251" t="s">
        <v>82</v>
      </c>
      <c r="B4251">
        <v>1956</v>
      </c>
      <c r="C4251">
        <v>90.43971059292609</v>
      </c>
    </row>
    <row r="4252" spans="1:3" x14ac:dyDescent="0.35">
      <c r="A4252" t="s">
        <v>82</v>
      </c>
      <c r="B4252">
        <v>1957</v>
      </c>
      <c r="C4252">
        <v>89.039715072911775</v>
      </c>
    </row>
    <row r="4253" spans="1:3" x14ac:dyDescent="0.35">
      <c r="A4253" t="s">
        <v>82</v>
      </c>
      <c r="B4253">
        <v>1958</v>
      </c>
      <c r="C4253">
        <v>91.804706224940091</v>
      </c>
    </row>
    <row r="4254" spans="1:3" x14ac:dyDescent="0.35">
      <c r="A4254" t="s">
        <v>82</v>
      </c>
      <c r="B4254">
        <v>1959</v>
      </c>
      <c r="C4254">
        <v>97.894686737002431</v>
      </c>
    </row>
    <row r="4255" spans="1:3" x14ac:dyDescent="0.35">
      <c r="A4255" t="s">
        <v>82</v>
      </c>
      <c r="B4255">
        <v>1960</v>
      </c>
      <c r="C4255">
        <v>101.21967609703648</v>
      </c>
    </row>
    <row r="4256" spans="1:3" x14ac:dyDescent="0.35">
      <c r="A4256" t="s">
        <v>82</v>
      </c>
      <c r="B4256">
        <v>1961</v>
      </c>
      <c r="C4256">
        <v>96.678751219403111</v>
      </c>
    </row>
    <row r="4257" spans="1:3" x14ac:dyDescent="0.35">
      <c r="A4257" t="s">
        <v>82</v>
      </c>
      <c r="B4257">
        <v>1962</v>
      </c>
      <c r="C4257">
        <v>96.323106143822116</v>
      </c>
    </row>
    <row r="4258" spans="1:3" x14ac:dyDescent="0.35">
      <c r="A4258" t="s">
        <v>82</v>
      </c>
      <c r="B4258">
        <v>1963</v>
      </c>
      <c r="C4258">
        <v>100.0425476297077</v>
      </c>
    </row>
    <row r="4259" spans="1:3" x14ac:dyDescent="0.35">
      <c r="A4259" t="s">
        <v>82</v>
      </c>
      <c r="B4259">
        <v>1964</v>
      </c>
      <c r="C4259">
        <v>123.40203060648449</v>
      </c>
    </row>
    <row r="4260" spans="1:3" x14ac:dyDescent="0.35">
      <c r="A4260" t="s">
        <v>82</v>
      </c>
      <c r="B4260">
        <v>1965</v>
      </c>
      <c r="C4260">
        <v>126.98242755084163</v>
      </c>
    </row>
    <row r="4261" spans="1:3" x14ac:dyDescent="0.35">
      <c r="A4261" t="s">
        <v>82</v>
      </c>
      <c r="B4261">
        <v>1966</v>
      </c>
      <c r="C4261">
        <v>148.22148126930981</v>
      </c>
    </row>
    <row r="4262" spans="1:3" x14ac:dyDescent="0.35">
      <c r="A4262" t="s">
        <v>82</v>
      </c>
      <c r="B4262">
        <v>1967</v>
      </c>
      <c r="C4262">
        <v>149.59123088707938</v>
      </c>
    </row>
    <row r="4263" spans="1:3" x14ac:dyDescent="0.35">
      <c r="A4263" t="s">
        <v>82</v>
      </c>
      <c r="B4263">
        <v>1968</v>
      </c>
      <c r="C4263">
        <v>135.52002168320345</v>
      </c>
    </row>
    <row r="4264" spans="1:3" x14ac:dyDescent="0.35">
      <c r="A4264" t="s">
        <v>82</v>
      </c>
      <c r="B4264">
        <v>1969</v>
      </c>
      <c r="C4264">
        <v>147.56002360960377</v>
      </c>
    </row>
    <row r="4265" spans="1:3" x14ac:dyDescent="0.35">
      <c r="A4265" t="s">
        <v>82</v>
      </c>
      <c r="B4265">
        <v>1970</v>
      </c>
      <c r="C4265">
        <v>171.92002750720442</v>
      </c>
    </row>
    <row r="4266" spans="1:3" x14ac:dyDescent="0.35">
      <c r="A4266" t="s">
        <v>82</v>
      </c>
      <c r="B4266">
        <v>1971</v>
      </c>
      <c r="C4266">
        <v>180.84116978402398</v>
      </c>
    </row>
    <row r="4267" spans="1:3" x14ac:dyDescent="0.35">
      <c r="A4267" t="s">
        <v>82</v>
      </c>
      <c r="B4267">
        <v>1972</v>
      </c>
      <c r="C4267">
        <v>206.17201319500884</v>
      </c>
    </row>
    <row r="4268" spans="1:3" x14ac:dyDescent="0.35">
      <c r="A4268" t="s">
        <v>82</v>
      </c>
      <c r="B4268">
        <v>1973</v>
      </c>
      <c r="C4268">
        <v>246.33149297242716</v>
      </c>
    </row>
    <row r="4269" spans="1:3" x14ac:dyDescent="0.35">
      <c r="A4269" t="s">
        <v>82</v>
      </c>
      <c r="B4269">
        <v>1974</v>
      </c>
      <c r="C4269">
        <v>291.44412310264283</v>
      </c>
    </row>
    <row r="4270" spans="1:3" x14ac:dyDescent="0.35">
      <c r="A4270" t="s">
        <v>82</v>
      </c>
      <c r="B4270">
        <v>1975</v>
      </c>
      <c r="C4270">
        <v>292.25994735115768</v>
      </c>
    </row>
    <row r="4271" spans="1:3" x14ac:dyDescent="0.35">
      <c r="A4271" t="s">
        <v>82</v>
      </c>
      <c r="B4271">
        <v>1976</v>
      </c>
      <c r="C4271">
        <v>271.6715262367025</v>
      </c>
    </row>
    <row r="4272" spans="1:3" x14ac:dyDescent="0.35">
      <c r="A4272" t="s">
        <v>82</v>
      </c>
      <c r="B4272">
        <v>1977</v>
      </c>
      <c r="C4272">
        <v>307.43174384408576</v>
      </c>
    </row>
    <row r="4273" spans="1:3" x14ac:dyDescent="0.35">
      <c r="A4273" t="s">
        <v>82</v>
      </c>
      <c r="B4273">
        <v>1978</v>
      </c>
      <c r="C4273">
        <v>388.57350234595748</v>
      </c>
    </row>
    <row r="4274" spans="1:3" x14ac:dyDescent="0.35">
      <c r="A4274" t="s">
        <v>82</v>
      </c>
      <c r="B4274">
        <v>1979</v>
      </c>
      <c r="C4274">
        <v>436.89231089972219</v>
      </c>
    </row>
    <row r="4275" spans="1:3" x14ac:dyDescent="0.35">
      <c r="A4275" t="s">
        <v>82</v>
      </c>
      <c r="B4275">
        <v>1980</v>
      </c>
      <c r="C4275">
        <v>676.93926052908398</v>
      </c>
    </row>
    <row r="4276" spans="1:3" x14ac:dyDescent="0.35">
      <c r="A4276" t="s">
        <v>82</v>
      </c>
      <c r="B4276">
        <v>1981</v>
      </c>
      <c r="C4276">
        <v>660.35444443480594</v>
      </c>
    </row>
    <row r="4277" spans="1:3" x14ac:dyDescent="0.35">
      <c r="A4277" t="s">
        <v>82</v>
      </c>
      <c r="B4277">
        <v>1982</v>
      </c>
      <c r="C4277">
        <v>608.76775650790546</v>
      </c>
    </row>
    <row r="4278" spans="1:3" x14ac:dyDescent="0.35">
      <c r="A4278" t="s">
        <v>82</v>
      </c>
      <c r="B4278">
        <v>1983</v>
      </c>
      <c r="C4278">
        <v>567.55546944420325</v>
      </c>
    </row>
    <row r="4279" spans="1:3" x14ac:dyDescent="0.35">
      <c r="A4279" t="s">
        <v>82</v>
      </c>
      <c r="B4279">
        <v>1984</v>
      </c>
      <c r="C4279">
        <v>530.33180460206688</v>
      </c>
    </row>
    <row r="4280" spans="1:3" x14ac:dyDescent="0.35">
      <c r="A4280" t="s">
        <v>82</v>
      </c>
      <c r="B4280">
        <v>1985</v>
      </c>
      <c r="C4280">
        <v>529.19139850842907</v>
      </c>
    </row>
    <row r="4281" spans="1:3" x14ac:dyDescent="0.35">
      <c r="A4281" t="s">
        <v>82</v>
      </c>
      <c r="B4281">
        <v>1986</v>
      </c>
      <c r="C4281">
        <v>691.1340400175626</v>
      </c>
    </row>
    <row r="4282" spans="1:3" x14ac:dyDescent="0.35">
      <c r="A4282" t="s">
        <v>82</v>
      </c>
      <c r="B4282">
        <v>1987</v>
      </c>
      <c r="C4282">
        <v>925.75653857048428</v>
      </c>
    </row>
    <row r="4283" spans="1:3" x14ac:dyDescent="0.35">
      <c r="A4283" t="s">
        <v>82</v>
      </c>
      <c r="B4283">
        <v>1988</v>
      </c>
      <c r="C4283">
        <v>961.83831236897277</v>
      </c>
    </row>
    <row r="4284" spans="1:3" x14ac:dyDescent="0.35">
      <c r="A4284" t="s">
        <v>82</v>
      </c>
      <c r="B4284">
        <v>1989</v>
      </c>
      <c r="C4284">
        <v>959.60290643781957</v>
      </c>
    </row>
    <row r="4285" spans="1:3" x14ac:dyDescent="0.35">
      <c r="A4285" t="s">
        <v>82</v>
      </c>
      <c r="B4285">
        <v>1990</v>
      </c>
      <c r="C4285">
        <v>1057.7496718768643</v>
      </c>
    </row>
    <row r="4286" spans="1:3" x14ac:dyDescent="0.35">
      <c r="A4286" t="s">
        <v>82</v>
      </c>
      <c r="B4286">
        <v>1991</v>
      </c>
      <c r="C4286">
        <v>989.03381001551759</v>
      </c>
    </row>
    <row r="4287" spans="1:3" x14ac:dyDescent="0.35">
      <c r="A4287" t="s">
        <v>82</v>
      </c>
      <c r="B4287">
        <v>1992</v>
      </c>
      <c r="C4287">
        <v>870.39891717110947</v>
      </c>
    </row>
    <row r="4288" spans="1:3" x14ac:dyDescent="0.35">
      <c r="A4288" t="s">
        <v>82</v>
      </c>
      <c r="B4288">
        <v>1993</v>
      </c>
      <c r="C4288">
        <v>866.78807463888324</v>
      </c>
    </row>
    <row r="4289" spans="1:3" x14ac:dyDescent="0.35">
      <c r="A4289" t="s">
        <v>82</v>
      </c>
      <c r="B4289">
        <v>1994</v>
      </c>
      <c r="C4289">
        <v>979.53181699594427</v>
      </c>
    </row>
    <row r="4290" spans="1:3" x14ac:dyDescent="0.35">
      <c r="A4290" t="s">
        <v>82</v>
      </c>
      <c r="B4290">
        <v>1995</v>
      </c>
      <c r="C4290">
        <v>1146.4157282725675</v>
      </c>
    </row>
    <row r="4291" spans="1:3" x14ac:dyDescent="0.35">
      <c r="A4291" t="s">
        <v>82</v>
      </c>
      <c r="B4291">
        <v>1996</v>
      </c>
      <c r="C4291">
        <v>1238.2719868027632</v>
      </c>
    </row>
    <row r="4292" spans="1:3" x14ac:dyDescent="0.35">
      <c r="A4292" t="s">
        <v>82</v>
      </c>
      <c r="B4292">
        <v>1997</v>
      </c>
      <c r="C4292">
        <v>1180.8889065206754</v>
      </c>
    </row>
    <row r="4293" spans="1:3" x14ac:dyDescent="0.35">
      <c r="A4293" t="s">
        <v>82</v>
      </c>
      <c r="B4293">
        <v>1998</v>
      </c>
      <c r="C4293">
        <v>969.35634952495661</v>
      </c>
    </row>
    <row r="4294" spans="1:3" x14ac:dyDescent="0.35">
      <c r="A4294" t="s">
        <v>82</v>
      </c>
      <c r="B4294">
        <v>1999</v>
      </c>
      <c r="C4294">
        <v>970.30604198750007</v>
      </c>
    </row>
    <row r="4295" spans="1:3" x14ac:dyDescent="0.35">
      <c r="A4295" t="s">
        <v>82</v>
      </c>
      <c r="B4295">
        <v>2000</v>
      </c>
      <c r="C4295">
        <v>858.41491947391125</v>
      </c>
    </row>
    <row r="4296" spans="1:3" x14ac:dyDescent="0.35">
      <c r="A4296" t="s">
        <v>82</v>
      </c>
      <c r="B4296">
        <v>2001</v>
      </c>
      <c r="C4296">
        <v>796.63688912243822</v>
      </c>
    </row>
    <row r="4297" spans="1:3" x14ac:dyDescent="0.35">
      <c r="A4297" t="s">
        <v>82</v>
      </c>
      <c r="B4297">
        <v>2002</v>
      </c>
      <c r="C4297">
        <v>865.78885296851809</v>
      </c>
    </row>
    <row r="4298" spans="1:3" x14ac:dyDescent="0.35">
      <c r="A4298" t="s">
        <v>82</v>
      </c>
      <c r="B4298">
        <v>2003</v>
      </c>
      <c r="C4298">
        <v>1091.0672064387288</v>
      </c>
    </row>
    <row r="4299" spans="1:3" x14ac:dyDescent="0.35">
      <c r="A4299" t="s">
        <v>82</v>
      </c>
      <c r="B4299">
        <v>2004</v>
      </c>
      <c r="C4299">
        <v>1193.4956107487658</v>
      </c>
    </row>
    <row r="4300" spans="1:3" x14ac:dyDescent="0.35">
      <c r="A4300" t="s">
        <v>82</v>
      </c>
      <c r="B4300">
        <v>2005</v>
      </c>
      <c r="C4300">
        <v>1290.64196184914</v>
      </c>
    </row>
    <row r="4301" spans="1:3" x14ac:dyDescent="0.35">
      <c r="A4301" t="s">
        <v>82</v>
      </c>
      <c r="B4301">
        <v>2006</v>
      </c>
      <c r="C4301">
        <v>1359.5307520529352</v>
      </c>
    </row>
    <row r="4302" spans="1:3" x14ac:dyDescent="0.35">
      <c r="A4302" t="s">
        <v>82</v>
      </c>
      <c r="B4302">
        <v>2007</v>
      </c>
      <c r="C4302">
        <v>1591.7407629978802</v>
      </c>
    </row>
    <row r="4303" spans="1:3" x14ac:dyDescent="0.35">
      <c r="A4303" t="s">
        <v>82</v>
      </c>
      <c r="B4303">
        <v>2008</v>
      </c>
      <c r="C4303">
        <v>1534.9827910937677</v>
      </c>
    </row>
    <row r="4304" spans="1:3" x14ac:dyDescent="0.35">
      <c r="A4304" t="s">
        <v>82</v>
      </c>
      <c r="B4304">
        <v>2009</v>
      </c>
      <c r="C4304">
        <v>1462.0245109867481</v>
      </c>
    </row>
    <row r="4305" spans="1:3" x14ac:dyDescent="0.35">
      <c r="A4305" t="s">
        <v>82</v>
      </c>
      <c r="B4305">
        <v>2010</v>
      </c>
      <c r="C4305">
        <v>1756.9165531801448</v>
      </c>
    </row>
    <row r="4306" spans="1:3" x14ac:dyDescent="0.35">
      <c r="A4306" t="s">
        <v>82</v>
      </c>
      <c r="B4306">
        <v>2011</v>
      </c>
      <c r="C4306">
        <v>1937.6865406340601</v>
      </c>
    </row>
    <row r="4307" spans="1:3" x14ac:dyDescent="0.35">
      <c r="A4307" t="s">
        <v>82</v>
      </c>
      <c r="B4307">
        <v>2012</v>
      </c>
      <c r="C4307">
        <v>1953.0815536183038</v>
      </c>
    </row>
    <row r="4308" spans="1:3" x14ac:dyDescent="0.35">
      <c r="A4308" t="s">
        <v>82</v>
      </c>
      <c r="B4308">
        <v>2013</v>
      </c>
      <c r="C4308">
        <v>1952.4134622481363</v>
      </c>
    </row>
    <row r="4309" spans="1:3" x14ac:dyDescent="0.35">
      <c r="A4309" t="s">
        <v>82</v>
      </c>
      <c r="B4309">
        <v>2014</v>
      </c>
      <c r="C4309">
        <v>1994.7754972243865</v>
      </c>
    </row>
    <row r="4310" spans="1:3" x14ac:dyDescent="0.35">
      <c r="A4310" t="s">
        <v>82</v>
      </c>
      <c r="B4310">
        <v>2015</v>
      </c>
      <c r="C4310">
        <v>1734.7788490036437</v>
      </c>
    </row>
    <row r="4311" spans="1:3" x14ac:dyDescent="0.35">
      <c r="A4311" t="s">
        <v>82</v>
      </c>
      <c r="B4311">
        <v>2016</v>
      </c>
      <c r="C4311">
        <v>1921.8156166914707</v>
      </c>
    </row>
    <row r="4312" spans="1:3" x14ac:dyDescent="0.35">
      <c r="A4312" t="s">
        <v>82</v>
      </c>
      <c r="B4312">
        <v>2017</v>
      </c>
      <c r="C4312">
        <v>2145.3456477700042</v>
      </c>
    </row>
    <row r="4313" spans="1:3" x14ac:dyDescent="0.35">
      <c r="A4313" t="s">
        <v>82</v>
      </c>
      <c r="B4313">
        <v>2018</v>
      </c>
      <c r="C4313">
        <v>2302.338733474578</v>
      </c>
    </row>
    <row r="4314" spans="1:3" x14ac:dyDescent="0.35">
      <c r="A4314" t="s">
        <v>82</v>
      </c>
      <c r="B4314">
        <v>2019</v>
      </c>
      <c r="C4314">
        <v>2726.1512854317743</v>
      </c>
    </row>
    <row r="4315" spans="1:3" x14ac:dyDescent="0.35">
      <c r="A4315" t="s">
        <v>82</v>
      </c>
      <c r="B4315">
        <v>2020</v>
      </c>
      <c r="C4315">
        <v>2810.1823491239456</v>
      </c>
    </row>
    <row r="4316" spans="1:3" x14ac:dyDescent="0.35">
      <c r="A4316" t="s">
        <v>82</v>
      </c>
      <c r="B4316">
        <v>2021</v>
      </c>
      <c r="C4316">
        <v>2905.5710749646396</v>
      </c>
    </row>
    <row r="4317" spans="1:3" x14ac:dyDescent="0.35">
      <c r="A4317" t="s">
        <v>82</v>
      </c>
      <c r="B4317">
        <v>2022</v>
      </c>
      <c r="C4317">
        <v>2828.4197567393408</v>
      </c>
    </row>
    <row r="4318" spans="1:3" x14ac:dyDescent="0.35">
      <c r="A4318" t="s">
        <v>82</v>
      </c>
      <c r="B4318">
        <v>2023</v>
      </c>
      <c r="C4318">
        <v>3034.5801690786707</v>
      </c>
    </row>
    <row r="4319" spans="1:3" x14ac:dyDescent="0.35">
      <c r="A4319" t="s">
        <v>82</v>
      </c>
      <c r="B4319">
        <v>2024</v>
      </c>
      <c r="C4319">
        <v>3000.9986029645456</v>
      </c>
    </row>
    <row r="4320" spans="1:3" x14ac:dyDescent="0.35">
      <c r="A4320" t="s">
        <v>82</v>
      </c>
      <c r="B4320">
        <v>2025</v>
      </c>
      <c r="C4320">
        <v>2855.7326044604692</v>
      </c>
    </row>
    <row r="4321" spans="1:3" x14ac:dyDescent="0.35">
      <c r="A4321" t="s">
        <v>83</v>
      </c>
      <c r="B4321">
        <v>1975</v>
      </c>
      <c r="C4321">
        <v>7.9330482148677888</v>
      </c>
    </row>
    <row r="4322" spans="1:3" x14ac:dyDescent="0.35">
      <c r="A4322" t="s">
        <v>83</v>
      </c>
      <c r="B4322">
        <v>1976</v>
      </c>
      <c r="C4322">
        <v>21.985174197503301</v>
      </c>
    </row>
    <row r="4323" spans="1:3" x14ac:dyDescent="0.35">
      <c r="A4323" t="s">
        <v>83</v>
      </c>
      <c r="B4323">
        <v>1977</v>
      </c>
      <c r="C4323">
        <v>22.276752319915897</v>
      </c>
    </row>
    <row r="4324" spans="1:3" x14ac:dyDescent="0.35">
      <c r="A4324" t="s">
        <v>83</v>
      </c>
      <c r="B4324">
        <v>1978</v>
      </c>
      <c r="C4324">
        <v>27.421800613605104</v>
      </c>
    </row>
    <row r="4325" spans="1:3" x14ac:dyDescent="0.35">
      <c r="A4325" t="s">
        <v>83</v>
      </c>
      <c r="B4325">
        <v>1979</v>
      </c>
      <c r="C4325">
        <v>30.150739648503635</v>
      </c>
    </row>
    <row r="4326" spans="1:3" x14ac:dyDescent="0.35">
      <c r="A4326" t="s">
        <v>83</v>
      </c>
      <c r="B4326">
        <v>1980</v>
      </c>
      <c r="C4326">
        <v>38.795968677061936</v>
      </c>
    </row>
    <row r="4327" spans="1:3" x14ac:dyDescent="0.35">
      <c r="A4327" t="s">
        <v>83</v>
      </c>
      <c r="B4327">
        <v>1981</v>
      </c>
      <c r="C4327">
        <v>38.248532246009091</v>
      </c>
    </row>
    <row r="4328" spans="1:3" x14ac:dyDescent="0.35">
      <c r="A4328" t="s">
        <v>83</v>
      </c>
      <c r="B4328">
        <v>1985</v>
      </c>
      <c r="C4328">
        <v>34.289370295208485</v>
      </c>
    </row>
    <row r="4329" spans="1:3" x14ac:dyDescent="0.35">
      <c r="A4329" t="s">
        <v>83</v>
      </c>
      <c r="B4329">
        <v>1986</v>
      </c>
      <c r="C4329">
        <v>37.450561758426375</v>
      </c>
    </row>
    <row r="4330" spans="1:3" x14ac:dyDescent="0.35">
      <c r="A4330" t="s">
        <v>83</v>
      </c>
      <c r="B4330">
        <v>1987</v>
      </c>
      <c r="C4330">
        <v>42.383569097443655</v>
      </c>
    </row>
    <row r="4331" spans="1:3" x14ac:dyDescent="0.35">
      <c r="A4331" t="s">
        <v>83</v>
      </c>
      <c r="B4331">
        <v>1988</v>
      </c>
      <c r="C4331">
        <v>46.294747841250768</v>
      </c>
    </row>
    <row r="4332" spans="1:3" x14ac:dyDescent="0.35">
      <c r="A4332" t="s">
        <v>83</v>
      </c>
      <c r="B4332">
        <v>1989</v>
      </c>
      <c r="C4332">
        <v>53.074242224879683</v>
      </c>
    </row>
    <row r="4333" spans="1:3" x14ac:dyDescent="0.35">
      <c r="A4333" t="s">
        <v>83</v>
      </c>
      <c r="B4333">
        <v>1990</v>
      </c>
      <c r="C4333">
        <v>68.691099476439788</v>
      </c>
    </row>
    <row r="4334" spans="1:3" x14ac:dyDescent="0.35">
      <c r="A4334" t="s">
        <v>83</v>
      </c>
      <c r="B4334">
        <v>1991</v>
      </c>
      <c r="C4334">
        <v>52.64214166305036</v>
      </c>
    </row>
    <row r="4335" spans="1:3" x14ac:dyDescent="0.35">
      <c r="A4335" t="s">
        <v>83</v>
      </c>
      <c r="B4335">
        <v>1992</v>
      </c>
      <c r="C4335">
        <v>58.569676664285872</v>
      </c>
    </row>
    <row r="4336" spans="1:3" x14ac:dyDescent="0.35">
      <c r="A4336" t="s">
        <v>83</v>
      </c>
      <c r="B4336">
        <v>1993</v>
      </c>
      <c r="C4336">
        <v>68.596992159905611</v>
      </c>
    </row>
    <row r="4337" spans="1:3" x14ac:dyDescent="0.35">
      <c r="A4337" t="s">
        <v>83</v>
      </c>
      <c r="B4337">
        <v>1994</v>
      </c>
      <c r="C4337">
        <v>83.255878339628623</v>
      </c>
    </row>
    <row r="4338" spans="1:3" x14ac:dyDescent="0.35">
      <c r="A4338" t="s">
        <v>83</v>
      </c>
      <c r="B4338">
        <v>1995</v>
      </c>
      <c r="C4338">
        <v>56.405488186023248</v>
      </c>
    </row>
    <row r="4339" spans="1:3" x14ac:dyDescent="0.35">
      <c r="A4339" t="s">
        <v>83</v>
      </c>
      <c r="B4339">
        <v>1996</v>
      </c>
      <c r="C4339">
        <v>78.744873281933494</v>
      </c>
    </row>
    <row r="4340" spans="1:3" x14ac:dyDescent="0.35">
      <c r="A4340" t="s">
        <v>83</v>
      </c>
      <c r="B4340">
        <v>1997</v>
      </c>
      <c r="C4340">
        <v>79.556597147367484</v>
      </c>
    </row>
    <row r="4341" spans="1:3" x14ac:dyDescent="0.35">
      <c r="A4341" t="s">
        <v>83</v>
      </c>
      <c r="B4341">
        <v>1998</v>
      </c>
      <c r="C4341">
        <v>49.72053298868147</v>
      </c>
    </row>
    <row r="4342" spans="1:3" x14ac:dyDescent="0.35">
      <c r="A4342" t="s">
        <v>83</v>
      </c>
      <c r="B4342">
        <v>1999</v>
      </c>
      <c r="C4342">
        <v>35.678026427879587</v>
      </c>
    </row>
    <row r="4343" spans="1:3" x14ac:dyDescent="0.35">
      <c r="A4343" t="s">
        <v>83</v>
      </c>
      <c r="B4343">
        <v>2000</v>
      </c>
      <c r="C4343">
        <v>33.606981625787157</v>
      </c>
    </row>
    <row r="4344" spans="1:3" x14ac:dyDescent="0.35">
      <c r="A4344" t="s">
        <v>83</v>
      </c>
      <c r="B4344">
        <v>2001</v>
      </c>
      <c r="C4344">
        <v>25.230765598810169</v>
      </c>
    </row>
    <row r="4345" spans="1:3" x14ac:dyDescent="0.35">
      <c r="A4345" t="s">
        <v>83</v>
      </c>
      <c r="B4345">
        <v>2002</v>
      </c>
      <c r="C4345">
        <v>17.020861466104609</v>
      </c>
    </row>
    <row r="4346" spans="1:3" x14ac:dyDescent="0.35">
      <c r="A4346" t="s">
        <v>83</v>
      </c>
      <c r="B4346">
        <v>2003</v>
      </c>
      <c r="C4346">
        <v>19.307132133185537</v>
      </c>
    </row>
    <row r="4347" spans="1:3" x14ac:dyDescent="0.35">
      <c r="A4347" t="s">
        <v>83</v>
      </c>
      <c r="B4347">
        <v>2004</v>
      </c>
      <c r="C4347">
        <v>24.42172944323422</v>
      </c>
    </row>
    <row r="4348" spans="1:3" x14ac:dyDescent="0.35">
      <c r="A4348" t="s">
        <v>83</v>
      </c>
      <c r="B4348">
        <v>2005</v>
      </c>
      <c r="C4348">
        <v>30.464707683876274</v>
      </c>
    </row>
    <row r="4349" spans="1:3" x14ac:dyDescent="0.35">
      <c r="A4349" t="s">
        <v>83</v>
      </c>
      <c r="B4349">
        <v>2006</v>
      </c>
      <c r="C4349">
        <v>31.307966356204179</v>
      </c>
    </row>
    <row r="4350" spans="1:3" x14ac:dyDescent="0.35">
      <c r="A4350" t="s">
        <v>83</v>
      </c>
      <c r="B4350">
        <v>2007</v>
      </c>
      <c r="C4350">
        <v>39.287099330601784</v>
      </c>
    </row>
    <row r="4351" spans="1:3" x14ac:dyDescent="0.35">
      <c r="A4351" t="s">
        <v>83</v>
      </c>
      <c r="B4351">
        <v>2008</v>
      </c>
      <c r="C4351">
        <v>39.332022265924472</v>
      </c>
    </row>
    <row r="4352" spans="1:3" x14ac:dyDescent="0.35">
      <c r="A4352" t="s">
        <v>83</v>
      </c>
      <c r="B4352">
        <v>2009</v>
      </c>
      <c r="C4352">
        <v>52.048171780744362</v>
      </c>
    </row>
    <row r="4353" spans="1:3" x14ac:dyDescent="0.35">
      <c r="A4353" t="s">
        <v>83</v>
      </c>
      <c r="B4353">
        <v>2010</v>
      </c>
      <c r="C4353">
        <v>46.335624372538419</v>
      </c>
    </row>
    <row r="4354" spans="1:3" x14ac:dyDescent="0.35">
      <c r="A4354" t="s">
        <v>83</v>
      </c>
      <c r="B4354">
        <v>2011</v>
      </c>
      <c r="C4354">
        <v>64.193136142591428</v>
      </c>
    </row>
    <row r="4355" spans="1:3" x14ac:dyDescent="0.35">
      <c r="A4355" t="s">
        <v>83</v>
      </c>
      <c r="B4355">
        <v>2012</v>
      </c>
      <c r="C4355">
        <v>110.62318527583808</v>
      </c>
    </row>
    <row r="4356" spans="1:3" x14ac:dyDescent="0.35">
      <c r="A4356" t="s">
        <v>83</v>
      </c>
      <c r="B4356">
        <v>2013</v>
      </c>
      <c r="C4356">
        <v>105.10089061755127</v>
      </c>
    </row>
    <row r="4357" spans="1:3" x14ac:dyDescent="0.35">
      <c r="A4357" t="s">
        <v>83</v>
      </c>
      <c r="B4357">
        <v>2014</v>
      </c>
      <c r="C4357">
        <v>112.37575592603351</v>
      </c>
    </row>
    <row r="4358" spans="1:3" x14ac:dyDescent="0.35">
      <c r="A4358" t="s">
        <v>83</v>
      </c>
      <c r="B4358">
        <v>2015</v>
      </c>
      <c r="C4358">
        <v>99.840642678984878</v>
      </c>
    </row>
    <row r="4359" spans="1:3" x14ac:dyDescent="0.35">
      <c r="A4359" t="s">
        <v>83</v>
      </c>
      <c r="B4359">
        <v>2016</v>
      </c>
      <c r="C4359">
        <v>79.051319309880753</v>
      </c>
    </row>
    <row r="4360" spans="1:3" x14ac:dyDescent="0.35">
      <c r="A4360" t="s">
        <v>83</v>
      </c>
      <c r="B4360">
        <v>2017</v>
      </c>
      <c r="C4360">
        <v>80.720314142082088</v>
      </c>
    </row>
    <row r="4361" spans="1:3" x14ac:dyDescent="0.35">
      <c r="A4361" t="s">
        <v>83</v>
      </c>
      <c r="B4361">
        <v>2018</v>
      </c>
      <c r="C4361">
        <v>79.612248120425562</v>
      </c>
    </row>
    <row r="4362" spans="1:3" x14ac:dyDescent="0.35">
      <c r="A4362" t="s">
        <v>83</v>
      </c>
      <c r="B4362">
        <v>2019</v>
      </c>
      <c r="C4362">
        <v>89.770219137297829</v>
      </c>
    </row>
    <row r="4363" spans="1:3" x14ac:dyDescent="0.35">
      <c r="A4363" t="s">
        <v>83</v>
      </c>
      <c r="B4363">
        <v>2020</v>
      </c>
      <c r="C4363">
        <v>93.786821449028977</v>
      </c>
    </row>
    <row r="4364" spans="1:3" x14ac:dyDescent="0.35">
      <c r="A4364" t="s">
        <v>83</v>
      </c>
      <c r="B4364">
        <v>2021</v>
      </c>
      <c r="C4364">
        <v>86.089950000000044</v>
      </c>
    </row>
    <row r="4365" spans="1:3" x14ac:dyDescent="0.35">
      <c r="A4365" t="s">
        <v>83</v>
      </c>
      <c r="B4365">
        <v>2022</v>
      </c>
      <c r="C4365">
        <v>133.06889269708086</v>
      </c>
    </row>
    <row r="4366" spans="1:3" x14ac:dyDescent="0.35">
      <c r="A4366" t="s">
        <v>83</v>
      </c>
      <c r="B4366">
        <v>2023</v>
      </c>
      <c r="C4366">
        <v>101.05599538801199</v>
      </c>
    </row>
    <row r="4367" spans="1:3" x14ac:dyDescent="0.35">
      <c r="A4367" t="s">
        <v>83</v>
      </c>
      <c r="B4367">
        <v>2024</v>
      </c>
      <c r="C4367">
        <v>91.516962028004315</v>
      </c>
    </row>
    <row r="4368" spans="1:3" x14ac:dyDescent="0.35">
      <c r="A4368" t="s">
        <v>83</v>
      </c>
      <c r="B4368">
        <v>2025</v>
      </c>
      <c r="C4368">
        <v>106.4806827655668</v>
      </c>
    </row>
    <row r="4369" spans="1:3" x14ac:dyDescent="0.35">
      <c r="A4369" t="s">
        <v>84</v>
      </c>
      <c r="B4369">
        <v>1970</v>
      </c>
      <c r="C4369">
        <v>2.9395855012537648</v>
      </c>
    </row>
    <row r="4370" spans="1:3" x14ac:dyDescent="0.35">
      <c r="A4370" t="s">
        <v>84</v>
      </c>
      <c r="B4370">
        <v>1973</v>
      </c>
      <c r="C4370">
        <v>3.3412715512301565</v>
      </c>
    </row>
    <row r="4371" spans="1:3" x14ac:dyDescent="0.35">
      <c r="A4371" t="s">
        <v>84</v>
      </c>
      <c r="B4371">
        <v>1974</v>
      </c>
      <c r="C4371">
        <v>3.5813663514300256</v>
      </c>
    </row>
    <row r="4372" spans="1:3" x14ac:dyDescent="0.35">
      <c r="A4372" t="s">
        <v>84</v>
      </c>
      <c r="B4372">
        <v>1975</v>
      </c>
      <c r="C4372">
        <v>4.2036645686545064</v>
      </c>
    </row>
    <row r="4373" spans="1:3" x14ac:dyDescent="0.35">
      <c r="A4373" t="s">
        <v>84</v>
      </c>
      <c r="B4373">
        <v>1976</v>
      </c>
      <c r="C4373">
        <v>5.3932512159455035</v>
      </c>
    </row>
    <row r="4374" spans="1:3" x14ac:dyDescent="0.35">
      <c r="A4374" t="s">
        <v>84</v>
      </c>
      <c r="B4374">
        <v>1977</v>
      </c>
      <c r="C4374">
        <v>6.1272880633346016</v>
      </c>
    </row>
    <row r="4375" spans="1:3" x14ac:dyDescent="0.35">
      <c r="A4375" t="s">
        <v>84</v>
      </c>
      <c r="B4375">
        <v>2004</v>
      </c>
      <c r="C4375">
        <v>125.11155745705429</v>
      </c>
    </row>
    <row r="4376" spans="1:3" x14ac:dyDescent="0.35">
      <c r="A4376" t="s">
        <v>84</v>
      </c>
      <c r="B4376">
        <v>2005</v>
      </c>
      <c r="C4376">
        <v>122.72719313487397</v>
      </c>
    </row>
    <row r="4377" spans="1:3" x14ac:dyDescent="0.35">
      <c r="A4377" t="s">
        <v>84</v>
      </c>
      <c r="B4377">
        <v>2006</v>
      </c>
      <c r="C4377">
        <v>131.34623126951666</v>
      </c>
    </row>
    <row r="4378" spans="1:3" x14ac:dyDescent="0.35">
      <c r="A4378" t="s">
        <v>84</v>
      </c>
      <c r="B4378">
        <v>2007</v>
      </c>
      <c r="C4378">
        <v>219.58021429619842</v>
      </c>
    </row>
    <row r="4379" spans="1:3" x14ac:dyDescent="0.35">
      <c r="A4379" t="s">
        <v>84</v>
      </c>
      <c r="B4379">
        <v>2008</v>
      </c>
      <c r="C4379">
        <v>240.53259462098535</v>
      </c>
    </row>
    <row r="4380" spans="1:3" x14ac:dyDescent="0.35">
      <c r="A4380" t="s">
        <v>84</v>
      </c>
      <c r="B4380">
        <v>2009</v>
      </c>
      <c r="C4380">
        <v>251.8695148203345</v>
      </c>
    </row>
    <row r="4381" spans="1:3" x14ac:dyDescent="0.35">
      <c r="A4381" t="s">
        <v>84</v>
      </c>
      <c r="B4381">
        <v>2010</v>
      </c>
      <c r="C4381">
        <v>298.14710282570081</v>
      </c>
    </row>
    <row r="4382" spans="1:3" x14ac:dyDescent="0.35">
      <c r="A4382" t="s">
        <v>84</v>
      </c>
      <c r="B4382">
        <v>2011</v>
      </c>
      <c r="C4382">
        <v>325.80694972333049</v>
      </c>
    </row>
    <row r="4383" spans="1:3" x14ac:dyDescent="0.35">
      <c r="A4383" t="s">
        <v>84</v>
      </c>
      <c r="B4383">
        <v>2012</v>
      </c>
      <c r="C4383">
        <v>238.58338537432201</v>
      </c>
    </row>
    <row r="4384" spans="1:3" x14ac:dyDescent="0.35">
      <c r="A4384" t="s">
        <v>84</v>
      </c>
      <c r="B4384">
        <v>2013</v>
      </c>
      <c r="C4384">
        <v>217.19410711329814</v>
      </c>
    </row>
    <row r="4385" spans="1:3" x14ac:dyDescent="0.35">
      <c r="A4385" t="s">
        <v>84</v>
      </c>
      <c r="B4385">
        <v>2014</v>
      </c>
      <c r="C4385">
        <v>268.23878771998773</v>
      </c>
    </row>
    <row r="4386" spans="1:3" x14ac:dyDescent="0.35">
      <c r="A4386" t="s">
        <v>84</v>
      </c>
      <c r="B4386">
        <v>2015</v>
      </c>
      <c r="C4386">
        <v>199.51710876482591</v>
      </c>
    </row>
    <row r="4387" spans="1:3" x14ac:dyDescent="0.35">
      <c r="A4387" t="s">
        <v>84</v>
      </c>
      <c r="B4387">
        <v>2016</v>
      </c>
      <c r="C4387">
        <v>185.87831006238258</v>
      </c>
    </row>
    <row r="4388" spans="1:3" x14ac:dyDescent="0.35">
      <c r="A4388" t="s">
        <v>84</v>
      </c>
      <c r="B4388">
        <v>2017</v>
      </c>
      <c r="C4388">
        <v>191.40711324439658</v>
      </c>
    </row>
    <row r="4389" spans="1:3" x14ac:dyDescent="0.35">
      <c r="A4389" t="s">
        <v>84</v>
      </c>
      <c r="B4389">
        <v>2018</v>
      </c>
      <c r="C4389">
        <v>198.07472857440797</v>
      </c>
    </row>
    <row r="4390" spans="1:3" x14ac:dyDescent="0.35">
      <c r="A4390" t="s">
        <v>84</v>
      </c>
      <c r="B4390">
        <v>2019</v>
      </c>
      <c r="C4390">
        <v>226.30624372925831</v>
      </c>
    </row>
    <row r="4391" spans="1:3" x14ac:dyDescent="0.35">
      <c r="A4391" t="s">
        <v>84</v>
      </c>
      <c r="B4391">
        <v>2020</v>
      </c>
      <c r="C4391">
        <v>279.57695492519326</v>
      </c>
    </row>
    <row r="4392" spans="1:3" x14ac:dyDescent="0.35">
      <c r="A4392" t="s">
        <v>84</v>
      </c>
      <c r="B4392">
        <v>2021</v>
      </c>
      <c r="C4392">
        <v>278.25078801492702</v>
      </c>
    </row>
    <row r="4393" spans="1:3" x14ac:dyDescent="0.35">
      <c r="A4393" t="s">
        <v>85</v>
      </c>
      <c r="B4393">
        <v>1973</v>
      </c>
      <c r="C4393">
        <v>48.606800131376765</v>
      </c>
    </row>
    <row r="4394" spans="1:3" x14ac:dyDescent="0.35">
      <c r="A4394" t="s">
        <v>85</v>
      </c>
      <c r="B4394">
        <v>1974</v>
      </c>
      <c r="C4394">
        <v>72.298235038271372</v>
      </c>
    </row>
    <row r="4395" spans="1:3" x14ac:dyDescent="0.35">
      <c r="A4395" t="s">
        <v>85</v>
      </c>
      <c r="B4395">
        <v>1975</v>
      </c>
      <c r="C4395">
        <v>80.830559473365085</v>
      </c>
    </row>
    <row r="4396" spans="1:3" x14ac:dyDescent="0.35">
      <c r="A4396" t="s">
        <v>85</v>
      </c>
      <c r="B4396">
        <v>1976</v>
      </c>
      <c r="C4396">
        <v>105.28772907551254</v>
      </c>
    </row>
    <row r="4397" spans="1:3" x14ac:dyDescent="0.35">
      <c r="A4397" t="s">
        <v>85</v>
      </c>
      <c r="B4397">
        <v>1977</v>
      </c>
      <c r="C4397">
        <v>128.52290876123118</v>
      </c>
    </row>
    <row r="4398" spans="1:3" x14ac:dyDescent="0.35">
      <c r="A4398" t="s">
        <v>85</v>
      </c>
      <c r="B4398">
        <v>1978</v>
      </c>
      <c r="C4398">
        <v>134.87103170526336</v>
      </c>
    </row>
    <row r="4399" spans="1:3" x14ac:dyDescent="0.35">
      <c r="A4399" t="s">
        <v>85</v>
      </c>
      <c r="B4399">
        <v>1979</v>
      </c>
      <c r="C4399">
        <v>136.25193292563429</v>
      </c>
    </row>
    <row r="4400" spans="1:3" x14ac:dyDescent="0.35">
      <c r="A4400" t="s">
        <v>85</v>
      </c>
      <c r="B4400">
        <v>1980</v>
      </c>
      <c r="C4400">
        <v>167.25535116763416</v>
      </c>
    </row>
    <row r="4401" spans="1:3" x14ac:dyDescent="0.35">
      <c r="A4401" t="s">
        <v>85</v>
      </c>
      <c r="B4401">
        <v>1981</v>
      </c>
      <c r="C4401">
        <v>174.10613871698942</v>
      </c>
    </row>
    <row r="4402" spans="1:3" x14ac:dyDescent="0.35">
      <c r="A4402" t="s">
        <v>85</v>
      </c>
      <c r="B4402">
        <v>1982</v>
      </c>
      <c r="C4402">
        <v>184.67456250855653</v>
      </c>
    </row>
    <row r="4403" spans="1:3" x14ac:dyDescent="0.35">
      <c r="A4403" t="s">
        <v>85</v>
      </c>
      <c r="B4403">
        <v>1983</v>
      </c>
      <c r="C4403">
        <v>231.8044924595024</v>
      </c>
    </row>
    <row r="4404" spans="1:3" x14ac:dyDescent="0.35">
      <c r="A4404" t="s">
        <v>85</v>
      </c>
      <c r="B4404">
        <v>1984</v>
      </c>
      <c r="C4404">
        <v>244.33757153981685</v>
      </c>
    </row>
    <row r="4405" spans="1:3" x14ac:dyDescent="0.35">
      <c r="A4405" t="s">
        <v>85</v>
      </c>
      <c r="B4405">
        <v>1985</v>
      </c>
      <c r="C4405">
        <v>224.94800705317962</v>
      </c>
    </row>
    <row r="4406" spans="1:3" x14ac:dyDescent="0.35">
      <c r="A4406" t="s">
        <v>85</v>
      </c>
      <c r="B4406">
        <v>1986</v>
      </c>
      <c r="C4406">
        <v>248.79641716661382</v>
      </c>
    </row>
    <row r="4407" spans="1:3" x14ac:dyDescent="0.35">
      <c r="A4407" t="s">
        <v>85</v>
      </c>
      <c r="B4407">
        <v>1987</v>
      </c>
      <c r="C4407">
        <v>288.31183974786654</v>
      </c>
    </row>
    <row r="4408" spans="1:3" x14ac:dyDescent="0.35">
      <c r="A4408" t="s">
        <v>85</v>
      </c>
      <c r="B4408">
        <v>1988</v>
      </c>
      <c r="C4408">
        <v>331.99558662798853</v>
      </c>
    </row>
    <row r="4409" spans="1:3" x14ac:dyDescent="0.35">
      <c r="A4409" t="s">
        <v>85</v>
      </c>
      <c r="B4409">
        <v>1989</v>
      </c>
      <c r="C4409">
        <v>378.79613524614786</v>
      </c>
    </row>
    <row r="4410" spans="1:3" x14ac:dyDescent="0.35">
      <c r="A4410" t="s">
        <v>85</v>
      </c>
      <c r="B4410">
        <v>1990</v>
      </c>
      <c r="C4410">
        <v>373.02343895929181</v>
      </c>
    </row>
    <row r="4411" spans="1:3" x14ac:dyDescent="0.35">
      <c r="A4411" t="s">
        <v>85</v>
      </c>
      <c r="B4411">
        <v>1991</v>
      </c>
      <c r="C4411">
        <v>381.72011005225841</v>
      </c>
    </row>
    <row r="4412" spans="1:3" x14ac:dyDescent="0.35">
      <c r="A4412" t="s">
        <v>85</v>
      </c>
      <c r="B4412">
        <v>1992</v>
      </c>
      <c r="C4412">
        <v>427.72362497936109</v>
      </c>
    </row>
    <row r="4413" spans="1:3" x14ac:dyDescent="0.35">
      <c r="A4413" t="s">
        <v>85</v>
      </c>
      <c r="B4413">
        <v>1993</v>
      </c>
      <c r="C4413">
        <v>471.04467233506119</v>
      </c>
    </row>
    <row r="4414" spans="1:3" x14ac:dyDescent="0.35">
      <c r="A4414" t="s">
        <v>85</v>
      </c>
      <c r="B4414">
        <v>1994</v>
      </c>
      <c r="C4414">
        <v>547.41752218500267</v>
      </c>
    </row>
    <row r="4415" spans="1:3" x14ac:dyDescent="0.35">
      <c r="A4415" t="s">
        <v>85</v>
      </c>
      <c r="B4415">
        <v>1995</v>
      </c>
      <c r="C4415">
        <v>620.09515592842422</v>
      </c>
    </row>
    <row r="4416" spans="1:3" x14ac:dyDescent="0.35">
      <c r="A4416" t="s">
        <v>85</v>
      </c>
      <c r="B4416">
        <v>1996</v>
      </c>
      <c r="C4416">
        <v>638.95884483281168</v>
      </c>
    </row>
    <row r="4417" spans="1:3" x14ac:dyDescent="0.35">
      <c r="A4417" t="s">
        <v>85</v>
      </c>
      <c r="B4417">
        <v>1997</v>
      </c>
      <c r="C4417">
        <v>681.91512398730515</v>
      </c>
    </row>
    <row r="4418" spans="1:3" x14ac:dyDescent="0.35">
      <c r="A4418" t="s">
        <v>85</v>
      </c>
      <c r="B4418">
        <v>1998</v>
      </c>
      <c r="C4418">
        <v>701.58560035316964</v>
      </c>
    </row>
    <row r="4419" spans="1:3" x14ac:dyDescent="0.35">
      <c r="A4419" t="s">
        <v>85</v>
      </c>
      <c r="B4419">
        <v>1999</v>
      </c>
      <c r="C4419">
        <v>737.41257360724683</v>
      </c>
    </row>
    <row r="4420" spans="1:3" x14ac:dyDescent="0.35">
      <c r="A4420" t="s">
        <v>85</v>
      </c>
      <c r="B4420">
        <v>2000</v>
      </c>
      <c r="C4420">
        <v>740.7981600056853</v>
      </c>
    </row>
    <row r="4421" spans="1:3" x14ac:dyDescent="0.35">
      <c r="A4421" t="s">
        <v>85</v>
      </c>
      <c r="B4421">
        <v>2001</v>
      </c>
      <c r="C4421">
        <v>705.48169521297677</v>
      </c>
    </row>
    <row r="4422" spans="1:3" x14ac:dyDescent="0.35">
      <c r="A4422" t="s">
        <v>85</v>
      </c>
      <c r="B4422">
        <v>2002</v>
      </c>
      <c r="C4422">
        <v>681.81616171972144</v>
      </c>
    </row>
    <row r="4423" spans="1:3" x14ac:dyDescent="0.35">
      <c r="A4423" t="s">
        <v>85</v>
      </c>
      <c r="B4423">
        <v>2003</v>
      </c>
      <c r="C4423">
        <v>719.44295694088669</v>
      </c>
    </row>
    <row r="4424" spans="1:3" x14ac:dyDescent="0.35">
      <c r="A4424" t="s">
        <v>85</v>
      </c>
      <c r="B4424">
        <v>2004</v>
      </c>
      <c r="C4424">
        <v>770.64116028896717</v>
      </c>
    </row>
    <row r="4425" spans="1:3" x14ac:dyDescent="0.35">
      <c r="A4425" t="s">
        <v>85</v>
      </c>
      <c r="B4425">
        <v>2005</v>
      </c>
      <c r="C4425">
        <v>773.67766817915344</v>
      </c>
    </row>
    <row r="4426" spans="1:3" x14ac:dyDescent="0.35">
      <c r="A4426" t="s">
        <v>85</v>
      </c>
      <c r="B4426">
        <v>2006</v>
      </c>
      <c r="C4426">
        <v>829.6827948377387</v>
      </c>
    </row>
    <row r="4427" spans="1:3" x14ac:dyDescent="0.35">
      <c r="A4427" t="s">
        <v>85</v>
      </c>
      <c r="B4427">
        <v>2007</v>
      </c>
      <c r="C4427">
        <v>953.46422359962219</v>
      </c>
    </row>
    <row r="4428" spans="1:3" x14ac:dyDescent="0.35">
      <c r="A4428" t="s">
        <v>85</v>
      </c>
      <c r="B4428">
        <v>2008</v>
      </c>
      <c r="C4428">
        <v>1030.0200182387623</v>
      </c>
    </row>
    <row r="4429" spans="1:3" x14ac:dyDescent="0.35">
      <c r="A4429" t="s">
        <v>85</v>
      </c>
      <c r="B4429">
        <v>2009</v>
      </c>
      <c r="C4429">
        <v>1258.791156602384</v>
      </c>
    </row>
    <row r="4430" spans="1:3" x14ac:dyDescent="0.35">
      <c r="A4430" t="s">
        <v>85</v>
      </c>
      <c r="B4430">
        <v>2010</v>
      </c>
      <c r="C4430">
        <v>1624.625085966406</v>
      </c>
    </row>
    <row r="4431" spans="1:3" x14ac:dyDescent="0.35">
      <c r="A4431" t="s">
        <v>85</v>
      </c>
      <c r="B4431">
        <v>2011</v>
      </c>
      <c r="C4431">
        <v>1801.5398018135625</v>
      </c>
    </row>
    <row r="4432" spans="1:3" x14ac:dyDescent="0.35">
      <c r="A4432" t="s">
        <v>85</v>
      </c>
      <c r="B4432">
        <v>2012</v>
      </c>
      <c r="C4432">
        <v>1823.4250763778864</v>
      </c>
    </row>
    <row r="4433" spans="1:3" x14ac:dyDescent="0.35">
      <c r="A4433" t="s">
        <v>85</v>
      </c>
      <c r="B4433">
        <v>2013</v>
      </c>
      <c r="C4433">
        <v>2047.9890708703356</v>
      </c>
    </row>
    <row r="4434" spans="1:3" x14ac:dyDescent="0.35">
      <c r="A4434" t="s">
        <v>85</v>
      </c>
      <c r="B4434">
        <v>2014</v>
      </c>
      <c r="C4434">
        <v>2355.9915247115246</v>
      </c>
    </row>
    <row r="4435" spans="1:3" x14ac:dyDescent="0.35">
      <c r="A4435" t="s">
        <v>85</v>
      </c>
      <c r="B4435">
        <v>2015</v>
      </c>
      <c r="C4435">
        <v>2815.2816409545439</v>
      </c>
    </row>
    <row r="4436" spans="1:3" x14ac:dyDescent="0.35">
      <c r="A4436" t="s">
        <v>85</v>
      </c>
      <c r="B4436">
        <v>2016</v>
      </c>
      <c r="C4436">
        <v>3243.0379609716124</v>
      </c>
    </row>
    <row r="4437" spans="1:3" x14ac:dyDescent="0.35">
      <c r="A4437" t="s">
        <v>85</v>
      </c>
      <c r="B4437">
        <v>2017</v>
      </c>
      <c r="C4437">
        <v>3258.2360744697903</v>
      </c>
    </row>
    <row r="4438" spans="1:3" x14ac:dyDescent="0.35">
      <c r="A4438" t="s">
        <v>85</v>
      </c>
      <c r="B4438">
        <v>2018</v>
      </c>
      <c r="C4438">
        <v>3648.8781447617971</v>
      </c>
    </row>
    <row r="4439" spans="1:3" x14ac:dyDescent="0.35">
      <c r="A4439" t="s">
        <v>85</v>
      </c>
      <c r="B4439">
        <v>2019</v>
      </c>
      <c r="C4439">
        <v>4347.8056229093345</v>
      </c>
    </row>
    <row r="4440" spans="1:3" x14ac:dyDescent="0.35">
      <c r="A4440" t="s">
        <v>85</v>
      </c>
      <c r="B4440">
        <v>2020</v>
      </c>
      <c r="C4440">
        <v>4649.6822103482691</v>
      </c>
    </row>
    <row r="4441" spans="1:3" x14ac:dyDescent="0.35">
      <c r="A4441" t="s">
        <v>85</v>
      </c>
      <c r="B4441">
        <v>2021</v>
      </c>
      <c r="C4441">
        <v>4849.1449395311029</v>
      </c>
    </row>
    <row r="4442" spans="1:3" x14ac:dyDescent="0.35">
      <c r="A4442" t="s">
        <v>85</v>
      </c>
      <c r="B4442">
        <v>2022</v>
      </c>
      <c r="C4442">
        <v>4290.0272542516577</v>
      </c>
    </row>
    <row r="4443" spans="1:3" x14ac:dyDescent="0.35">
      <c r="A4443" t="s">
        <v>85</v>
      </c>
      <c r="B4443">
        <v>2023</v>
      </c>
      <c r="C4443">
        <v>3687.6625128100809</v>
      </c>
    </row>
    <row r="4444" spans="1:3" x14ac:dyDescent="0.35">
      <c r="A4444" t="s">
        <v>85</v>
      </c>
      <c r="B4444">
        <v>2024</v>
      </c>
      <c r="C4444">
        <v>3747.468058077603</v>
      </c>
    </row>
    <row r="4445" spans="1:3" x14ac:dyDescent="0.35">
      <c r="A4445" t="s">
        <v>85</v>
      </c>
      <c r="B4445">
        <v>2025</v>
      </c>
      <c r="C4445">
        <v>3826.6322995846399</v>
      </c>
    </row>
    <row r="4446" spans="1:3" x14ac:dyDescent="0.35">
      <c r="A4446" t="s">
        <v>86</v>
      </c>
      <c r="B4446">
        <v>1956</v>
      </c>
      <c r="C4446">
        <v>518.38551838551848</v>
      </c>
    </row>
    <row r="4447" spans="1:3" x14ac:dyDescent="0.35">
      <c r="A4447" t="s">
        <v>86</v>
      </c>
      <c r="B4447">
        <v>1957</v>
      </c>
      <c r="C4447">
        <v>654.88565488565496</v>
      </c>
    </row>
    <row r="4448" spans="1:3" x14ac:dyDescent="0.35">
      <c r="A4448" t="s">
        <v>86</v>
      </c>
      <c r="B4448">
        <v>1958</v>
      </c>
      <c r="C4448">
        <v>687.5406875406876</v>
      </c>
    </row>
    <row r="4449" spans="1:3" x14ac:dyDescent="0.35">
      <c r="A4449" t="s">
        <v>86</v>
      </c>
      <c r="B4449">
        <v>1959</v>
      </c>
      <c r="C4449">
        <v>663.44316344316348</v>
      </c>
    </row>
    <row r="4450" spans="1:3" x14ac:dyDescent="0.35">
      <c r="A4450" t="s">
        <v>86</v>
      </c>
      <c r="B4450">
        <v>1960</v>
      </c>
      <c r="C4450">
        <v>681.76568176568173</v>
      </c>
    </row>
    <row r="4451" spans="1:3" x14ac:dyDescent="0.35">
      <c r="A4451" t="s">
        <v>86</v>
      </c>
      <c r="B4451">
        <v>1961</v>
      </c>
      <c r="C4451">
        <v>748.38824838824848</v>
      </c>
    </row>
    <row r="4452" spans="1:3" x14ac:dyDescent="0.35">
      <c r="A4452" t="s">
        <v>86</v>
      </c>
      <c r="B4452">
        <v>1962</v>
      </c>
      <c r="C4452">
        <v>1065.4360654360655</v>
      </c>
    </row>
    <row r="4453" spans="1:3" x14ac:dyDescent="0.35">
      <c r="A4453" t="s">
        <v>86</v>
      </c>
      <c r="B4453">
        <v>1963</v>
      </c>
      <c r="C4453">
        <v>1795.4492954492955</v>
      </c>
    </row>
    <row r="4454" spans="1:3" x14ac:dyDescent="0.35">
      <c r="A4454" t="s">
        <v>86</v>
      </c>
      <c r="B4454">
        <v>1964</v>
      </c>
      <c r="C4454">
        <v>1986.6544866544866</v>
      </c>
    </row>
    <row r="4455" spans="1:3" x14ac:dyDescent="0.35">
      <c r="A4455" t="s">
        <v>86</v>
      </c>
      <c r="B4455">
        <v>1965</v>
      </c>
      <c r="C4455">
        <v>2125.9896259896263</v>
      </c>
    </row>
    <row r="4456" spans="1:3" x14ac:dyDescent="0.35">
      <c r="A4456" t="s">
        <v>86</v>
      </c>
      <c r="B4456">
        <v>1966</v>
      </c>
      <c r="C4456">
        <v>1661.1549064101534</v>
      </c>
    </row>
    <row r="4457" spans="1:3" x14ac:dyDescent="0.35">
      <c r="A4457" t="s">
        <v>86</v>
      </c>
      <c r="B4457">
        <v>1967</v>
      </c>
      <c r="C4457">
        <v>1487.7333333333333</v>
      </c>
    </row>
    <row r="4458" spans="1:3" x14ac:dyDescent="0.35">
      <c r="A4458" t="s">
        <v>86</v>
      </c>
      <c r="B4458">
        <v>1968</v>
      </c>
      <c r="C4458">
        <v>1586.8666666666668</v>
      </c>
    </row>
    <row r="4459" spans="1:3" x14ac:dyDescent="0.35">
      <c r="A4459" t="s">
        <v>86</v>
      </c>
      <c r="B4459">
        <v>1969</v>
      </c>
      <c r="C4459">
        <v>1691.4333333333332</v>
      </c>
    </row>
    <row r="4460" spans="1:3" x14ac:dyDescent="0.35">
      <c r="A4460" t="s">
        <v>86</v>
      </c>
      <c r="B4460">
        <v>1970</v>
      </c>
      <c r="C4460">
        <v>1832.9666666666667</v>
      </c>
    </row>
    <row r="4461" spans="1:3" x14ac:dyDescent="0.35">
      <c r="A4461" t="s">
        <v>86</v>
      </c>
      <c r="B4461">
        <v>1971</v>
      </c>
      <c r="C4461">
        <v>2255.2569828375563</v>
      </c>
    </row>
    <row r="4462" spans="1:3" x14ac:dyDescent="0.35">
      <c r="A4462" t="s">
        <v>86</v>
      </c>
      <c r="B4462">
        <v>1972</v>
      </c>
      <c r="C4462">
        <v>2497.2447056871642</v>
      </c>
    </row>
    <row r="4463" spans="1:3" x14ac:dyDescent="0.35">
      <c r="A4463" t="s">
        <v>86</v>
      </c>
      <c r="B4463">
        <v>1973</v>
      </c>
      <c r="C4463">
        <v>2529.9210543990989</v>
      </c>
    </row>
    <row r="4464" spans="1:3" x14ac:dyDescent="0.35">
      <c r="A4464" t="s">
        <v>86</v>
      </c>
      <c r="B4464">
        <v>1974</v>
      </c>
      <c r="C4464">
        <v>2895.4157203515356</v>
      </c>
    </row>
    <row r="4465" spans="1:3" x14ac:dyDescent="0.35">
      <c r="A4465" t="s">
        <v>86</v>
      </c>
      <c r="B4465">
        <v>1975</v>
      </c>
      <c r="C4465">
        <v>3323.6468005191086</v>
      </c>
    </row>
    <row r="4466" spans="1:3" x14ac:dyDescent="0.35">
      <c r="A4466" t="s">
        <v>86</v>
      </c>
      <c r="B4466">
        <v>1976</v>
      </c>
      <c r="C4466">
        <v>3294.9106123492115</v>
      </c>
    </row>
    <row r="4467" spans="1:3" x14ac:dyDescent="0.35">
      <c r="A4467" t="s">
        <v>86</v>
      </c>
      <c r="B4467">
        <v>1977</v>
      </c>
      <c r="C4467">
        <v>3477.0809445012801</v>
      </c>
    </row>
    <row r="4468" spans="1:3" x14ac:dyDescent="0.35">
      <c r="A4468" t="s">
        <v>86</v>
      </c>
      <c r="B4468">
        <v>1978</v>
      </c>
      <c r="C4468">
        <v>3975.8191298743777</v>
      </c>
    </row>
    <row r="4469" spans="1:3" x14ac:dyDescent="0.35">
      <c r="A4469" t="s">
        <v>86</v>
      </c>
      <c r="B4469">
        <v>1979</v>
      </c>
      <c r="C4469">
        <v>4589.7383515941219</v>
      </c>
    </row>
    <row r="4470" spans="1:3" x14ac:dyDescent="0.35">
      <c r="A4470" t="s">
        <v>86</v>
      </c>
      <c r="B4470">
        <v>1980</v>
      </c>
      <c r="C4470">
        <v>5420.8095190857366</v>
      </c>
    </row>
    <row r="4471" spans="1:3" x14ac:dyDescent="0.35">
      <c r="A4471" t="s">
        <v>86</v>
      </c>
      <c r="B4471">
        <v>1981</v>
      </c>
      <c r="C4471">
        <v>5879.0070358444636</v>
      </c>
    </row>
    <row r="4472" spans="1:3" x14ac:dyDescent="0.35">
      <c r="A4472" t="s">
        <v>86</v>
      </c>
      <c r="B4472">
        <v>1982</v>
      </c>
      <c r="C4472">
        <v>6302.107956210014</v>
      </c>
    </row>
    <row r="4473" spans="1:3" x14ac:dyDescent="0.35">
      <c r="A4473" t="s">
        <v>86</v>
      </c>
      <c r="B4473">
        <v>1983</v>
      </c>
      <c r="C4473">
        <v>6830.7686975809238</v>
      </c>
    </row>
    <row r="4474" spans="1:3" x14ac:dyDescent="0.35">
      <c r="A4474" t="s">
        <v>86</v>
      </c>
      <c r="B4474">
        <v>1984</v>
      </c>
      <c r="C4474">
        <v>6956.6824494393886</v>
      </c>
    </row>
    <row r="4475" spans="1:3" x14ac:dyDescent="0.35">
      <c r="A4475" t="s">
        <v>86</v>
      </c>
      <c r="B4475">
        <v>1985</v>
      </c>
      <c r="C4475">
        <v>7567.024020309329</v>
      </c>
    </row>
    <row r="4476" spans="1:3" x14ac:dyDescent="0.35">
      <c r="A4476" t="s">
        <v>86</v>
      </c>
      <c r="B4476">
        <v>1986</v>
      </c>
      <c r="C4476">
        <v>9539.3630856091622</v>
      </c>
    </row>
    <row r="4477" spans="1:3" x14ac:dyDescent="0.35">
      <c r="A4477" t="s">
        <v>86</v>
      </c>
      <c r="B4477">
        <v>1987</v>
      </c>
      <c r="C4477">
        <v>10877.406164409984</v>
      </c>
    </row>
    <row r="4478" spans="1:3" x14ac:dyDescent="0.35">
      <c r="A4478" t="s">
        <v>86</v>
      </c>
      <c r="B4478">
        <v>1988</v>
      </c>
      <c r="C4478">
        <v>11346.419153415583</v>
      </c>
    </row>
    <row r="4479" spans="1:3" x14ac:dyDescent="0.35">
      <c r="A4479" t="s">
        <v>86</v>
      </c>
      <c r="B4479">
        <v>1989</v>
      </c>
      <c r="C4479">
        <v>10589.796924594004</v>
      </c>
    </row>
    <row r="4480" spans="1:3" x14ac:dyDescent="0.35">
      <c r="A4480" t="s">
        <v>86</v>
      </c>
      <c r="B4480">
        <v>1990</v>
      </c>
      <c r="C4480">
        <v>10537.035450052846</v>
      </c>
    </row>
    <row r="4481" spans="1:3" x14ac:dyDescent="0.35">
      <c r="A4481" t="s">
        <v>86</v>
      </c>
      <c r="B4481">
        <v>1991</v>
      </c>
      <c r="C4481">
        <v>8622.4738813845506</v>
      </c>
    </row>
    <row r="4482" spans="1:3" x14ac:dyDescent="0.35">
      <c r="A4482" t="s">
        <v>86</v>
      </c>
      <c r="B4482">
        <v>1992</v>
      </c>
      <c r="C4482">
        <v>8083.2314097098169</v>
      </c>
    </row>
    <row r="4483" spans="1:3" x14ac:dyDescent="0.35">
      <c r="A4483" t="s">
        <v>86</v>
      </c>
      <c r="B4483">
        <v>1993</v>
      </c>
      <c r="C4483">
        <v>8253.5425814851133</v>
      </c>
    </row>
    <row r="4484" spans="1:3" x14ac:dyDescent="0.35">
      <c r="A4484" t="s">
        <v>86</v>
      </c>
      <c r="B4484">
        <v>1994</v>
      </c>
      <c r="C4484">
        <v>8880.5512260268952</v>
      </c>
    </row>
    <row r="4485" spans="1:3" x14ac:dyDescent="0.35">
      <c r="A4485" t="s">
        <v>86</v>
      </c>
      <c r="B4485">
        <v>1995</v>
      </c>
      <c r="C4485">
        <v>9754.4646298928965</v>
      </c>
    </row>
    <row r="4486" spans="1:3" x14ac:dyDescent="0.35">
      <c r="A4486" t="s">
        <v>86</v>
      </c>
      <c r="B4486">
        <v>1996</v>
      </c>
      <c r="C4486">
        <v>9904.6727363038062</v>
      </c>
    </row>
    <row r="4487" spans="1:3" x14ac:dyDescent="0.35">
      <c r="A4487" t="s">
        <v>86</v>
      </c>
      <c r="B4487">
        <v>1997</v>
      </c>
      <c r="C4487">
        <v>11464.883389832377</v>
      </c>
    </row>
    <row r="4488" spans="1:3" x14ac:dyDescent="0.35">
      <c r="A4488" t="s">
        <v>86</v>
      </c>
      <c r="B4488">
        <v>1998</v>
      </c>
      <c r="C4488">
        <v>11920.610818383206</v>
      </c>
    </row>
    <row r="4489" spans="1:3" x14ac:dyDescent="0.35">
      <c r="A4489" t="s">
        <v>86</v>
      </c>
      <c r="B4489">
        <v>1999</v>
      </c>
      <c r="C4489">
        <v>13895.562461386957</v>
      </c>
    </row>
    <row r="4490" spans="1:3" x14ac:dyDescent="0.35">
      <c r="A4490" t="s">
        <v>86</v>
      </c>
      <c r="B4490">
        <v>2000</v>
      </c>
      <c r="C4490">
        <v>14287.514240703491</v>
      </c>
    </row>
    <row r="4491" spans="1:3" x14ac:dyDescent="0.35">
      <c r="A4491" t="s">
        <v>86</v>
      </c>
      <c r="B4491">
        <v>2001</v>
      </c>
      <c r="C4491">
        <v>14600.642346099723</v>
      </c>
    </row>
    <row r="4492" spans="1:3" x14ac:dyDescent="0.35">
      <c r="A4492" t="s">
        <v>86</v>
      </c>
      <c r="B4492">
        <v>2002</v>
      </c>
      <c r="C4492">
        <v>14749.667251590712</v>
      </c>
    </row>
    <row r="4493" spans="1:3" x14ac:dyDescent="0.35">
      <c r="A4493" t="s">
        <v>86</v>
      </c>
      <c r="B4493">
        <v>2003</v>
      </c>
      <c r="C4493">
        <v>16333.986643282034</v>
      </c>
    </row>
    <row r="4494" spans="1:3" x14ac:dyDescent="0.35">
      <c r="A4494" t="s">
        <v>86</v>
      </c>
      <c r="B4494">
        <v>2004</v>
      </c>
      <c r="C4494">
        <v>20238.566526541108</v>
      </c>
    </row>
    <row r="4495" spans="1:3" x14ac:dyDescent="0.35">
      <c r="A4495" t="s">
        <v>86</v>
      </c>
      <c r="B4495">
        <v>2005</v>
      </c>
      <c r="C4495">
        <v>23072.312925170067</v>
      </c>
    </row>
    <row r="4496" spans="1:3" x14ac:dyDescent="0.35">
      <c r="A4496" t="s">
        <v>86</v>
      </c>
      <c r="B4496">
        <v>2006</v>
      </c>
      <c r="C4496">
        <v>23951.927958152162</v>
      </c>
    </row>
    <row r="4497" spans="1:3" x14ac:dyDescent="0.35">
      <c r="A4497" t="s">
        <v>86</v>
      </c>
      <c r="B4497">
        <v>2007</v>
      </c>
      <c r="C4497">
        <v>28254.773450064695</v>
      </c>
    </row>
    <row r="4498" spans="1:3" x14ac:dyDescent="0.35">
      <c r="A4498" t="s">
        <v>86</v>
      </c>
      <c r="B4498">
        <v>2008</v>
      </c>
      <c r="C4498">
        <v>33002.376727379713</v>
      </c>
    </row>
    <row r="4499" spans="1:3" x14ac:dyDescent="0.35">
      <c r="A4499" t="s">
        <v>86</v>
      </c>
      <c r="B4499">
        <v>2009</v>
      </c>
      <c r="C4499">
        <v>38722.154392184326</v>
      </c>
    </row>
    <row r="4500" spans="1:3" x14ac:dyDescent="0.35">
      <c r="A4500" t="s">
        <v>86</v>
      </c>
      <c r="B4500">
        <v>2010</v>
      </c>
      <c r="C4500">
        <v>46090.445656500269</v>
      </c>
    </row>
    <row r="4501" spans="1:3" x14ac:dyDescent="0.35">
      <c r="A4501" t="s">
        <v>86</v>
      </c>
      <c r="B4501">
        <v>2011</v>
      </c>
      <c r="C4501">
        <v>49633.815793702663</v>
      </c>
    </row>
    <row r="4502" spans="1:3" x14ac:dyDescent="0.35">
      <c r="A4502" t="s">
        <v>86</v>
      </c>
      <c r="B4502">
        <v>2012</v>
      </c>
      <c r="C4502">
        <v>47216.920048206121</v>
      </c>
    </row>
    <row r="4503" spans="1:3" x14ac:dyDescent="0.35">
      <c r="A4503" t="s">
        <v>86</v>
      </c>
      <c r="B4503">
        <v>2013</v>
      </c>
      <c r="C4503">
        <v>47403.528801422573</v>
      </c>
    </row>
    <row r="4504" spans="1:3" x14ac:dyDescent="0.35">
      <c r="A4504" t="s">
        <v>86</v>
      </c>
      <c r="B4504">
        <v>2014</v>
      </c>
      <c r="C4504">
        <v>50914.096277082994</v>
      </c>
    </row>
    <row r="4505" spans="1:3" x14ac:dyDescent="0.35">
      <c r="A4505" t="s">
        <v>86</v>
      </c>
      <c r="B4505">
        <v>2015</v>
      </c>
      <c r="C4505">
        <v>51295.483753943605</v>
      </c>
    </row>
    <row r="4506" spans="1:3" x14ac:dyDescent="0.35">
      <c r="A4506" t="s">
        <v>86</v>
      </c>
      <c r="B4506">
        <v>2016</v>
      </c>
      <c r="C4506">
        <v>56637.622640874084</v>
      </c>
    </row>
    <row r="4507" spans="1:3" x14ac:dyDescent="0.35">
      <c r="A4507" t="s">
        <v>86</v>
      </c>
      <c r="B4507">
        <v>2017</v>
      </c>
      <c r="C4507">
        <v>64639.567006482699</v>
      </c>
    </row>
    <row r="4508" spans="1:3" x14ac:dyDescent="0.35">
      <c r="A4508" t="s">
        <v>86</v>
      </c>
      <c r="B4508">
        <v>2018</v>
      </c>
      <c r="C4508">
        <v>66228.148024678725</v>
      </c>
    </row>
    <row r="4509" spans="1:3" x14ac:dyDescent="0.35">
      <c r="A4509" t="s">
        <v>86</v>
      </c>
      <c r="B4509">
        <v>2019</v>
      </c>
      <c r="C4509">
        <v>71426.944427112569</v>
      </c>
    </row>
    <row r="4510" spans="1:3" x14ac:dyDescent="0.35">
      <c r="A4510" t="s">
        <v>86</v>
      </c>
      <c r="B4510">
        <v>2020</v>
      </c>
      <c r="C4510">
        <v>72815.435729541277</v>
      </c>
    </row>
    <row r="4511" spans="1:3" x14ac:dyDescent="0.35">
      <c r="A4511" t="s">
        <v>86</v>
      </c>
      <c r="B4511">
        <v>2021</v>
      </c>
      <c r="C4511">
        <v>76253.500470497223</v>
      </c>
    </row>
    <row r="4512" spans="1:3" x14ac:dyDescent="0.35">
      <c r="A4512" t="s">
        <v>86</v>
      </c>
      <c r="B4512">
        <v>2022</v>
      </c>
      <c r="C4512">
        <v>79887.01126903249</v>
      </c>
    </row>
    <row r="4513" spans="1:3" x14ac:dyDescent="0.35">
      <c r="A4513" t="s">
        <v>86</v>
      </c>
      <c r="B4513">
        <v>2023</v>
      </c>
      <c r="C4513">
        <v>82262.171563157797</v>
      </c>
    </row>
    <row r="4514" spans="1:3" x14ac:dyDescent="0.35">
      <c r="A4514" t="s">
        <v>86</v>
      </c>
      <c r="B4514">
        <v>2024</v>
      </c>
      <c r="C4514">
        <v>85597.08311910968</v>
      </c>
    </row>
    <row r="4515" spans="1:3" x14ac:dyDescent="0.35">
      <c r="A4515" t="s">
        <v>86</v>
      </c>
      <c r="B4515">
        <v>2025</v>
      </c>
      <c r="C4515">
        <v>92057.013588160102</v>
      </c>
    </row>
    <row r="4516" spans="1:3" x14ac:dyDescent="0.35">
      <c r="A4516" t="s">
        <v>87</v>
      </c>
      <c r="B4516">
        <v>1970</v>
      </c>
      <c r="C4516">
        <v>5.185185185185186</v>
      </c>
    </row>
    <row r="4517" spans="1:3" x14ac:dyDescent="0.35">
      <c r="A4517" t="s">
        <v>87</v>
      </c>
      <c r="B4517">
        <v>1971</v>
      </c>
      <c r="C4517">
        <v>5.8913580246913586</v>
      </c>
    </row>
    <row r="4518" spans="1:3" x14ac:dyDescent="0.35">
      <c r="A4518" t="s">
        <v>87</v>
      </c>
      <c r="B4518">
        <v>1972</v>
      </c>
      <c r="C4518">
        <v>6.5037037037037031</v>
      </c>
    </row>
    <row r="4519" spans="1:3" x14ac:dyDescent="0.35">
      <c r="A4519" t="s">
        <v>87</v>
      </c>
      <c r="B4519">
        <v>1973</v>
      </c>
      <c r="C4519">
        <v>7.1527479348708392</v>
      </c>
    </row>
    <row r="4520" spans="1:3" x14ac:dyDescent="0.35">
      <c r="A4520" t="s">
        <v>87</v>
      </c>
      <c r="B4520">
        <v>1974</v>
      </c>
      <c r="C4520">
        <v>8.4469696969696972</v>
      </c>
    </row>
    <row r="4521" spans="1:3" x14ac:dyDescent="0.35">
      <c r="A4521" t="s">
        <v>87</v>
      </c>
      <c r="B4521">
        <v>1975</v>
      </c>
      <c r="C4521">
        <v>10.529138037590432</v>
      </c>
    </row>
    <row r="4522" spans="1:3" x14ac:dyDescent="0.35">
      <c r="A4522" t="s">
        <v>87</v>
      </c>
      <c r="B4522">
        <v>1976</v>
      </c>
      <c r="C4522">
        <v>11.875999999999999</v>
      </c>
    </row>
    <row r="4523" spans="1:3" x14ac:dyDescent="0.35">
      <c r="A4523" t="s">
        <v>87</v>
      </c>
      <c r="B4523">
        <v>1977</v>
      </c>
      <c r="C4523">
        <v>13.208</v>
      </c>
    </row>
    <row r="4524" spans="1:3" x14ac:dyDescent="0.35">
      <c r="A4524" t="s">
        <v>87</v>
      </c>
      <c r="B4524">
        <v>1978</v>
      </c>
      <c r="C4524">
        <v>14.867263944510961</v>
      </c>
    </row>
    <row r="4525" spans="1:3" x14ac:dyDescent="0.35">
      <c r="A4525" t="s">
        <v>87</v>
      </c>
      <c r="B4525">
        <v>1979</v>
      </c>
      <c r="C4525">
        <v>17.3</v>
      </c>
    </row>
    <row r="4526" spans="1:3" x14ac:dyDescent="0.35">
      <c r="A4526" t="s">
        <v>87</v>
      </c>
      <c r="B4526">
        <v>1980</v>
      </c>
      <c r="C4526">
        <v>20.083333333333332</v>
      </c>
    </row>
    <row r="4527" spans="1:3" x14ac:dyDescent="0.35">
      <c r="A4527" t="s">
        <v>87</v>
      </c>
      <c r="B4527">
        <v>1981</v>
      </c>
      <c r="C4527">
        <v>21.959582694973371</v>
      </c>
    </row>
    <row r="4528" spans="1:3" x14ac:dyDescent="0.35">
      <c r="A4528" t="s">
        <v>87</v>
      </c>
      <c r="B4528">
        <v>1982</v>
      </c>
      <c r="C4528">
        <v>25.491173228227549</v>
      </c>
    </row>
    <row r="4529" spans="1:3" x14ac:dyDescent="0.35">
      <c r="A4529" t="s">
        <v>87</v>
      </c>
      <c r="B4529">
        <v>1983</v>
      </c>
      <c r="C4529">
        <v>29.081758930781291</v>
      </c>
    </row>
    <row r="4530" spans="1:3" x14ac:dyDescent="0.35">
      <c r="A4530" t="s">
        <v>87</v>
      </c>
      <c r="B4530">
        <v>1984</v>
      </c>
      <c r="C4530">
        <v>29.211271370766859</v>
      </c>
    </row>
    <row r="4531" spans="1:3" x14ac:dyDescent="0.35">
      <c r="A4531" t="s">
        <v>87</v>
      </c>
      <c r="B4531">
        <v>1985</v>
      </c>
      <c r="C4531">
        <v>30.532050157839354</v>
      </c>
    </row>
    <row r="4532" spans="1:3" x14ac:dyDescent="0.35">
      <c r="A4532" t="s">
        <v>87</v>
      </c>
      <c r="B4532">
        <v>1986</v>
      </c>
      <c r="C4532">
        <v>31.053048073933809</v>
      </c>
    </row>
    <row r="4533" spans="1:3" x14ac:dyDescent="0.35">
      <c r="A4533" t="s">
        <v>87</v>
      </c>
      <c r="B4533">
        <v>1987</v>
      </c>
      <c r="C4533">
        <v>33.928833321111689</v>
      </c>
    </row>
    <row r="4534" spans="1:3" x14ac:dyDescent="0.35">
      <c r="A4534" t="s">
        <v>87</v>
      </c>
      <c r="B4534">
        <v>1988</v>
      </c>
      <c r="C4534">
        <v>35.789121137694721</v>
      </c>
    </row>
    <row r="4535" spans="1:3" x14ac:dyDescent="0.35">
      <c r="A4535" t="s">
        <v>87</v>
      </c>
      <c r="B4535">
        <v>1989</v>
      </c>
      <c r="C4535">
        <v>36.331136350261872</v>
      </c>
    </row>
    <row r="4536" spans="1:3" x14ac:dyDescent="0.35">
      <c r="A4536" t="s">
        <v>87</v>
      </c>
      <c r="B4536">
        <v>1990</v>
      </c>
      <c r="C4536">
        <v>37.929191125396677</v>
      </c>
    </row>
    <row r="4537" spans="1:3" x14ac:dyDescent="0.35">
      <c r="A4537" t="s">
        <v>87</v>
      </c>
      <c r="B4537">
        <v>1991</v>
      </c>
      <c r="C4537">
        <v>35.431485706616556</v>
      </c>
    </row>
    <row r="4538" spans="1:3" x14ac:dyDescent="0.35">
      <c r="A4538" t="s">
        <v>87</v>
      </c>
      <c r="B4538">
        <v>1992</v>
      </c>
      <c r="C4538">
        <v>37.607537894305608</v>
      </c>
    </row>
    <row r="4539" spans="1:3" x14ac:dyDescent="0.35">
      <c r="A4539" t="s">
        <v>87</v>
      </c>
      <c r="B4539">
        <v>1993</v>
      </c>
      <c r="C4539">
        <v>37.041837423262393</v>
      </c>
    </row>
    <row r="4540" spans="1:3" x14ac:dyDescent="0.35">
      <c r="A4540" t="s">
        <v>87</v>
      </c>
      <c r="B4540">
        <v>1994</v>
      </c>
      <c r="C4540">
        <v>39.252998633534091</v>
      </c>
    </row>
    <row r="4541" spans="1:3" x14ac:dyDescent="0.35">
      <c r="A4541" t="s">
        <v>87</v>
      </c>
      <c r="B4541">
        <v>1995</v>
      </c>
      <c r="C4541">
        <v>39.766584506160108</v>
      </c>
    </row>
    <row r="4542" spans="1:3" x14ac:dyDescent="0.35">
      <c r="A4542" t="s">
        <v>87</v>
      </c>
      <c r="B4542">
        <v>1996</v>
      </c>
      <c r="C4542">
        <v>39.547026035419456</v>
      </c>
    </row>
    <row r="4543" spans="1:3" x14ac:dyDescent="0.35">
      <c r="A4543" t="s">
        <v>87</v>
      </c>
      <c r="B4543">
        <v>1997</v>
      </c>
      <c r="C4543">
        <v>42.587851989760296</v>
      </c>
    </row>
    <row r="4544" spans="1:3" x14ac:dyDescent="0.35">
      <c r="A4544" t="s">
        <v>87</v>
      </c>
      <c r="B4544">
        <v>1998</v>
      </c>
      <c r="C4544">
        <v>42.273075885400402</v>
      </c>
    </row>
    <row r="4545" spans="1:3" x14ac:dyDescent="0.35">
      <c r="A4545" t="s">
        <v>87</v>
      </c>
      <c r="B4545">
        <v>1999</v>
      </c>
      <c r="C4545">
        <v>47.484957370668553</v>
      </c>
    </row>
    <row r="4546" spans="1:3" x14ac:dyDescent="0.35">
      <c r="A4546" t="s">
        <v>87</v>
      </c>
      <c r="B4546">
        <v>2000</v>
      </c>
      <c r="C4546">
        <v>51.358135308564179</v>
      </c>
    </row>
    <row r="4547" spans="1:3" x14ac:dyDescent="0.35">
      <c r="A4547" t="s">
        <v>87</v>
      </c>
      <c r="B4547">
        <v>2001</v>
      </c>
      <c r="C4547">
        <v>64.701738375141602</v>
      </c>
    </row>
    <row r="4548" spans="1:3" x14ac:dyDescent="0.35">
      <c r="A4548" t="s">
        <v>87</v>
      </c>
      <c r="B4548">
        <v>2002</v>
      </c>
      <c r="C4548">
        <v>85.40588572177009</v>
      </c>
    </row>
    <row r="4549" spans="1:3" x14ac:dyDescent="0.35">
      <c r="A4549" t="s">
        <v>87</v>
      </c>
      <c r="B4549">
        <v>2003</v>
      </c>
      <c r="C4549">
        <v>102.93414620692553</v>
      </c>
    </row>
    <row r="4550" spans="1:3" x14ac:dyDescent="0.35">
      <c r="A4550" t="s">
        <v>87</v>
      </c>
      <c r="B4550">
        <v>2004</v>
      </c>
      <c r="C4550">
        <v>130.65032793293665</v>
      </c>
    </row>
    <row r="4551" spans="1:3" x14ac:dyDescent="0.35">
      <c r="A4551" t="s">
        <v>87</v>
      </c>
      <c r="B4551">
        <v>2005</v>
      </c>
      <c r="C4551">
        <v>159.32602375030649</v>
      </c>
    </row>
    <row r="4552" spans="1:3" x14ac:dyDescent="0.35">
      <c r="A4552" t="s">
        <v>87</v>
      </c>
      <c r="B4552">
        <v>2006</v>
      </c>
      <c r="C4552">
        <v>157.24768952493002</v>
      </c>
    </row>
    <row r="4553" spans="1:3" x14ac:dyDescent="0.35">
      <c r="A4553" t="s">
        <v>87</v>
      </c>
      <c r="B4553">
        <v>2007</v>
      </c>
      <c r="C4553">
        <v>169.57539712414362</v>
      </c>
    </row>
    <row r="4554" spans="1:3" x14ac:dyDescent="0.35">
      <c r="A4554" t="s">
        <v>87</v>
      </c>
      <c r="B4554">
        <v>2008</v>
      </c>
      <c r="C4554">
        <v>187.06969583596731</v>
      </c>
    </row>
    <row r="4555" spans="1:3" x14ac:dyDescent="0.35">
      <c r="A4555" t="s">
        <v>87</v>
      </c>
      <c r="B4555">
        <v>2009</v>
      </c>
      <c r="C4555">
        <v>209.70350195756799</v>
      </c>
    </row>
    <row r="4556" spans="1:3" x14ac:dyDescent="0.35">
      <c r="A4556" t="s">
        <v>87</v>
      </c>
      <c r="B4556">
        <v>2010</v>
      </c>
      <c r="C4556">
        <v>254.95007210667686</v>
      </c>
    </row>
    <row r="4557" spans="1:3" x14ac:dyDescent="0.35">
      <c r="A4557" t="s">
        <v>87</v>
      </c>
      <c r="B4557">
        <v>2011</v>
      </c>
      <c r="C4557">
        <v>284.5188510626225</v>
      </c>
    </row>
    <row r="4558" spans="1:3" x14ac:dyDescent="0.35">
      <c r="A4558" t="s">
        <v>87</v>
      </c>
      <c r="B4558">
        <v>2012</v>
      </c>
      <c r="C4558">
        <v>256.68683947359773</v>
      </c>
    </row>
    <row r="4559" spans="1:3" x14ac:dyDescent="0.35">
      <c r="A4559" t="s">
        <v>87</v>
      </c>
      <c r="B4559">
        <v>2013</v>
      </c>
      <c r="C4559">
        <v>281.03842569359819</v>
      </c>
    </row>
    <row r="4560" spans="1:3" x14ac:dyDescent="0.35">
      <c r="A4560" t="s">
        <v>87</v>
      </c>
      <c r="B4560">
        <v>2014</v>
      </c>
      <c r="C4560">
        <v>328.11566223892697</v>
      </c>
    </row>
    <row r="4561" spans="1:3" x14ac:dyDescent="0.35">
      <c r="A4561" t="s">
        <v>87</v>
      </c>
      <c r="B4561">
        <v>2015</v>
      </c>
      <c r="C4561">
        <v>323.79772964027057</v>
      </c>
    </row>
    <row r="4562" spans="1:3" x14ac:dyDescent="0.35">
      <c r="A4562" t="s">
        <v>87</v>
      </c>
      <c r="B4562">
        <v>2016</v>
      </c>
      <c r="C4562">
        <v>356.88804628209971</v>
      </c>
    </row>
    <row r="4563" spans="1:3" x14ac:dyDescent="0.35">
      <c r="A4563" t="s">
        <v>87</v>
      </c>
      <c r="B4563">
        <v>2017</v>
      </c>
      <c r="C4563">
        <v>437.22204315629159</v>
      </c>
    </row>
    <row r="4564" spans="1:3" x14ac:dyDescent="0.35">
      <c r="A4564" t="s">
        <v>87</v>
      </c>
      <c r="B4564">
        <v>2018</v>
      </c>
      <c r="C4564">
        <v>428.29929827497392</v>
      </c>
    </row>
    <row r="4565" spans="1:3" x14ac:dyDescent="0.35">
      <c r="A4565" t="s">
        <v>87</v>
      </c>
      <c r="B4565">
        <v>2019</v>
      </c>
      <c r="C4565">
        <v>423.49097812856712</v>
      </c>
    </row>
    <row r="4566" spans="1:3" x14ac:dyDescent="0.35">
      <c r="A4566" t="s">
        <v>87</v>
      </c>
      <c r="B4566">
        <v>2020</v>
      </c>
      <c r="C4566">
        <v>434.8508053816139</v>
      </c>
    </row>
    <row r="4567" spans="1:3" x14ac:dyDescent="0.35">
      <c r="A4567" t="s">
        <v>87</v>
      </c>
      <c r="B4567">
        <v>2021</v>
      </c>
      <c r="C4567">
        <v>447.95709486249058</v>
      </c>
    </row>
    <row r="4568" spans="1:3" x14ac:dyDescent="0.35">
      <c r="A4568" t="s">
        <v>87</v>
      </c>
      <c r="B4568">
        <v>2022</v>
      </c>
      <c r="C4568">
        <v>456.10820531341869</v>
      </c>
    </row>
    <row r="4569" spans="1:3" x14ac:dyDescent="0.35">
      <c r="A4569" t="s">
        <v>87</v>
      </c>
      <c r="B4569">
        <v>2023</v>
      </c>
      <c r="C4569">
        <v>455.13484916605557</v>
      </c>
    </row>
    <row r="4570" spans="1:3" x14ac:dyDescent="0.35">
      <c r="A4570" t="s">
        <v>87</v>
      </c>
      <c r="B4570">
        <v>2024</v>
      </c>
      <c r="C4570">
        <v>436.03801096253392</v>
      </c>
    </row>
    <row r="4571" spans="1:3" x14ac:dyDescent="0.35">
      <c r="A4571" t="s">
        <v>87</v>
      </c>
      <c r="B4571">
        <v>2025</v>
      </c>
      <c r="C4571">
        <v>428.29081413034118</v>
      </c>
    </row>
    <row r="4572" spans="1:3" x14ac:dyDescent="0.35">
      <c r="A4572" t="s">
        <v>88</v>
      </c>
      <c r="B4572">
        <v>1951</v>
      </c>
      <c r="C4572">
        <v>249.6584575580622</v>
      </c>
    </row>
    <row r="4573" spans="1:3" x14ac:dyDescent="0.35">
      <c r="A4573" t="s">
        <v>88</v>
      </c>
      <c r="B4573">
        <v>1952</v>
      </c>
      <c r="C4573">
        <v>287.4397011352508</v>
      </c>
    </row>
    <row r="4574" spans="1:3" x14ac:dyDescent="0.35">
      <c r="A4574" t="s">
        <v>88</v>
      </c>
      <c r="B4574">
        <v>1953</v>
      </c>
      <c r="C4574">
        <v>251.09414481399537</v>
      </c>
    </row>
    <row r="4575" spans="1:3" x14ac:dyDescent="0.35">
      <c r="A4575" t="s">
        <v>88</v>
      </c>
      <c r="B4575">
        <v>1954</v>
      </c>
      <c r="C4575">
        <v>216.63765067159937</v>
      </c>
    </row>
    <row r="4576" spans="1:3" x14ac:dyDescent="0.35">
      <c r="A4576" t="s">
        <v>88</v>
      </c>
      <c r="B4576">
        <v>1955</v>
      </c>
      <c r="C4576">
        <v>204.38925934442145</v>
      </c>
    </row>
    <row r="4577" spans="1:3" x14ac:dyDescent="0.35">
      <c r="A4577" t="s">
        <v>88</v>
      </c>
      <c r="B4577">
        <v>1956</v>
      </c>
      <c r="C4577">
        <v>169.36516936516938</v>
      </c>
    </row>
    <row r="4578" spans="1:3" x14ac:dyDescent="0.35">
      <c r="A4578" t="s">
        <v>88</v>
      </c>
      <c r="B4578">
        <v>1957</v>
      </c>
      <c r="C4578">
        <v>153.35265335265336</v>
      </c>
    </row>
    <row r="4579" spans="1:3" x14ac:dyDescent="0.35">
      <c r="A4579" t="s">
        <v>88</v>
      </c>
      <c r="B4579">
        <v>1958</v>
      </c>
      <c r="C4579">
        <v>164.55616455616456</v>
      </c>
    </row>
    <row r="4580" spans="1:3" x14ac:dyDescent="0.35">
      <c r="A4580" t="s">
        <v>88</v>
      </c>
      <c r="B4580">
        <v>1959</v>
      </c>
      <c r="C4580">
        <v>187.40418740418741</v>
      </c>
    </row>
    <row r="4581" spans="1:3" x14ac:dyDescent="0.35">
      <c r="A4581" t="s">
        <v>88</v>
      </c>
      <c r="B4581">
        <v>1960</v>
      </c>
      <c r="C4581">
        <v>208.84520884520884</v>
      </c>
    </row>
    <row r="4582" spans="1:3" x14ac:dyDescent="0.35">
      <c r="A4582" t="s">
        <v>88</v>
      </c>
      <c r="B4582">
        <v>1961</v>
      </c>
      <c r="C4582">
        <v>210.10521010521012</v>
      </c>
    </row>
    <row r="4583" spans="1:3" x14ac:dyDescent="0.35">
      <c r="A4583" t="s">
        <v>88</v>
      </c>
      <c r="B4583">
        <v>1962</v>
      </c>
      <c r="C4583">
        <v>200.34020034020034</v>
      </c>
    </row>
    <row r="4584" spans="1:3" x14ac:dyDescent="0.35">
      <c r="A4584" t="s">
        <v>88</v>
      </c>
      <c r="B4584">
        <v>1963</v>
      </c>
      <c r="C4584">
        <v>219.66021966021967</v>
      </c>
    </row>
    <row r="4585" spans="1:3" x14ac:dyDescent="0.35">
      <c r="A4585" t="s">
        <v>88</v>
      </c>
      <c r="B4585">
        <v>1964</v>
      </c>
      <c r="C4585">
        <v>257.88025788025789</v>
      </c>
    </row>
    <row r="4586" spans="1:3" x14ac:dyDescent="0.35">
      <c r="A4586" t="s">
        <v>88</v>
      </c>
      <c r="B4586">
        <v>1965</v>
      </c>
      <c r="C4586">
        <v>439.63543963543964</v>
      </c>
    </row>
    <row r="4587" spans="1:3" x14ac:dyDescent="0.35">
      <c r="A4587" t="s">
        <v>88</v>
      </c>
      <c r="B4587">
        <v>1966</v>
      </c>
      <c r="C4587">
        <v>549.67554967554975</v>
      </c>
    </row>
    <row r="4588" spans="1:3" x14ac:dyDescent="0.35">
      <c r="A4588" t="s">
        <v>88</v>
      </c>
      <c r="B4588">
        <v>1967</v>
      </c>
      <c r="C4588">
        <v>478.27547827547829</v>
      </c>
    </row>
    <row r="4589" spans="1:3" x14ac:dyDescent="0.35">
      <c r="A4589" t="s">
        <v>88</v>
      </c>
      <c r="B4589">
        <v>1968</v>
      </c>
      <c r="C4589">
        <v>492.55549255549261</v>
      </c>
    </row>
    <row r="4590" spans="1:3" x14ac:dyDescent="0.35">
      <c r="A4590" t="s">
        <v>88</v>
      </c>
      <c r="B4590">
        <v>1969</v>
      </c>
      <c r="C4590">
        <v>552.72055272055275</v>
      </c>
    </row>
    <row r="4591" spans="1:3" x14ac:dyDescent="0.35">
      <c r="A4591" t="s">
        <v>88</v>
      </c>
      <c r="B4591">
        <v>1970</v>
      </c>
      <c r="C4591">
        <v>635.25063525063524</v>
      </c>
    </row>
    <row r="4592" spans="1:3" x14ac:dyDescent="0.35">
      <c r="A4592" t="s">
        <v>88</v>
      </c>
      <c r="B4592">
        <v>1971</v>
      </c>
      <c r="C4592">
        <v>739.41073941073944</v>
      </c>
    </row>
    <row r="4593" spans="1:3" x14ac:dyDescent="0.35">
      <c r="A4593" t="s">
        <v>88</v>
      </c>
      <c r="B4593">
        <v>1972</v>
      </c>
      <c r="C4593">
        <v>478.20738177570843</v>
      </c>
    </row>
    <row r="4594" spans="1:3" x14ac:dyDescent="0.35">
      <c r="A4594" t="s">
        <v>88</v>
      </c>
      <c r="B4594">
        <v>1973</v>
      </c>
      <c r="C4594">
        <v>477.6246341646447</v>
      </c>
    </row>
    <row r="4595" spans="1:3" x14ac:dyDescent="0.35">
      <c r="A4595" t="s">
        <v>88</v>
      </c>
      <c r="B4595">
        <v>1974</v>
      </c>
      <c r="C4595">
        <v>609.19191919191917</v>
      </c>
    </row>
    <row r="4596" spans="1:3" x14ac:dyDescent="0.35">
      <c r="A4596" t="s">
        <v>88</v>
      </c>
      <c r="B4596">
        <v>1975</v>
      </c>
      <c r="C4596">
        <v>771.16161616161605</v>
      </c>
    </row>
    <row r="4597" spans="1:3" x14ac:dyDescent="0.35">
      <c r="A4597" t="s">
        <v>88</v>
      </c>
      <c r="B4597">
        <v>1976</v>
      </c>
      <c r="C4597">
        <v>833.18181818181813</v>
      </c>
    </row>
    <row r="4598" spans="1:3" x14ac:dyDescent="0.35">
      <c r="A4598" t="s">
        <v>88</v>
      </c>
      <c r="B4598">
        <v>1977</v>
      </c>
      <c r="C4598">
        <v>913.58585858585855</v>
      </c>
    </row>
    <row r="4599" spans="1:3" x14ac:dyDescent="0.35">
      <c r="A4599" t="s">
        <v>88</v>
      </c>
      <c r="B4599">
        <v>1978</v>
      </c>
      <c r="C4599">
        <v>1031.8686868686868</v>
      </c>
    </row>
    <row r="4600" spans="1:3" x14ac:dyDescent="0.35">
      <c r="A4600" t="s">
        <v>88</v>
      </c>
      <c r="B4600">
        <v>1979</v>
      </c>
      <c r="C4600">
        <v>1181.8181818181818</v>
      </c>
    </row>
    <row r="4601" spans="1:3" x14ac:dyDescent="0.35">
      <c r="A4601" t="s">
        <v>88</v>
      </c>
      <c r="B4601">
        <v>1980</v>
      </c>
      <c r="C4601">
        <v>1429.2929292929291</v>
      </c>
    </row>
    <row r="4602" spans="1:3" x14ac:dyDescent="0.35">
      <c r="A4602" t="s">
        <v>88</v>
      </c>
      <c r="B4602">
        <v>1981</v>
      </c>
      <c r="C4602">
        <v>1737.3737373737374</v>
      </c>
    </row>
    <row r="4603" spans="1:3" x14ac:dyDescent="0.35">
      <c r="A4603" t="s">
        <v>88</v>
      </c>
      <c r="B4603">
        <v>1982</v>
      </c>
      <c r="C4603">
        <v>1852.7115425195188</v>
      </c>
    </row>
    <row r="4604" spans="1:3" x14ac:dyDescent="0.35">
      <c r="A4604" t="s">
        <v>88</v>
      </c>
      <c r="B4604">
        <v>1983</v>
      </c>
      <c r="C4604">
        <v>1985.9724022261187</v>
      </c>
    </row>
    <row r="4605" spans="1:3" x14ac:dyDescent="0.35">
      <c r="A4605" t="s">
        <v>88</v>
      </c>
      <c r="B4605">
        <v>1984</v>
      </c>
      <c r="C4605">
        <v>2114.4358300762478</v>
      </c>
    </row>
    <row r="4606" spans="1:3" x14ac:dyDescent="0.35">
      <c r="A4606" t="s">
        <v>88</v>
      </c>
      <c r="B4606">
        <v>1985</v>
      </c>
      <c r="C4606">
        <v>2143.9692624494614</v>
      </c>
    </row>
    <row r="4607" spans="1:3" x14ac:dyDescent="0.35">
      <c r="A4607" t="s">
        <v>88</v>
      </c>
      <c r="B4607">
        <v>1986</v>
      </c>
      <c r="C4607">
        <v>2282.6250187715873</v>
      </c>
    </row>
    <row r="4608" spans="1:3" x14ac:dyDescent="0.35">
      <c r="A4608" t="s">
        <v>88</v>
      </c>
      <c r="B4608">
        <v>1987</v>
      </c>
      <c r="C4608">
        <v>2500.1724256845296</v>
      </c>
    </row>
    <row r="4609" spans="1:3" x14ac:dyDescent="0.35">
      <c r="A4609" t="s">
        <v>88</v>
      </c>
      <c r="B4609">
        <v>1988</v>
      </c>
      <c r="C4609">
        <v>2721.7232396282907</v>
      </c>
    </row>
    <row r="4610" spans="1:3" x14ac:dyDescent="0.35">
      <c r="A4610" t="s">
        <v>88</v>
      </c>
      <c r="B4610">
        <v>1989</v>
      </c>
      <c r="C4610">
        <v>2580.1426380741423</v>
      </c>
    </row>
    <row r="4611" spans="1:3" x14ac:dyDescent="0.35">
      <c r="A4611" t="s">
        <v>88</v>
      </c>
      <c r="B4611">
        <v>1990</v>
      </c>
      <c r="C4611">
        <v>2810.1016243308736</v>
      </c>
    </row>
    <row r="4612" spans="1:3" x14ac:dyDescent="0.35">
      <c r="A4612" t="s">
        <v>88</v>
      </c>
      <c r="B4612">
        <v>1991</v>
      </c>
      <c r="C4612">
        <v>3067.1237941581799</v>
      </c>
    </row>
    <row r="4613" spans="1:3" x14ac:dyDescent="0.35">
      <c r="A4613" t="s">
        <v>88</v>
      </c>
      <c r="B4613">
        <v>1992</v>
      </c>
      <c r="C4613">
        <v>3388.776372653771</v>
      </c>
    </row>
    <row r="4614" spans="1:3" x14ac:dyDescent="0.35">
      <c r="A4614" t="s">
        <v>88</v>
      </c>
      <c r="B4614">
        <v>1993</v>
      </c>
      <c r="C4614">
        <v>3308.7607445779017</v>
      </c>
    </row>
    <row r="4615" spans="1:3" x14ac:dyDescent="0.35">
      <c r="A4615" t="s">
        <v>88</v>
      </c>
      <c r="B4615">
        <v>1994</v>
      </c>
      <c r="C4615">
        <v>3320.6179293738919</v>
      </c>
    </row>
    <row r="4616" spans="1:3" x14ac:dyDescent="0.35">
      <c r="A4616" t="s">
        <v>88</v>
      </c>
      <c r="B4616">
        <v>1995</v>
      </c>
      <c r="C4616">
        <v>3665.9324267524576</v>
      </c>
    </row>
    <row r="4617" spans="1:3" x14ac:dyDescent="0.35">
      <c r="A4617" t="s">
        <v>88</v>
      </c>
      <c r="B4617">
        <v>1996</v>
      </c>
      <c r="C4617">
        <v>3547.7996712741869</v>
      </c>
    </row>
    <row r="4618" spans="1:3" x14ac:dyDescent="0.35">
      <c r="A4618" t="s">
        <v>88</v>
      </c>
      <c r="B4618">
        <v>1997</v>
      </c>
      <c r="C4618">
        <v>3320.2388626053539</v>
      </c>
    </row>
    <row r="4619" spans="1:3" x14ac:dyDescent="0.35">
      <c r="A4619" t="s">
        <v>88</v>
      </c>
      <c r="B4619">
        <v>1998</v>
      </c>
      <c r="C4619">
        <v>3218.8817382849356</v>
      </c>
    </row>
    <row r="4620" spans="1:3" x14ac:dyDescent="0.35">
      <c r="A4620" t="s">
        <v>88</v>
      </c>
      <c r="B4620">
        <v>1999</v>
      </c>
      <c r="C4620">
        <v>3080.7645144412099</v>
      </c>
    </row>
    <row r="4621" spans="1:3" x14ac:dyDescent="0.35">
      <c r="A4621" t="s">
        <v>88</v>
      </c>
      <c r="B4621">
        <v>2000</v>
      </c>
      <c r="C4621">
        <v>2973.0727219179762</v>
      </c>
    </row>
    <row r="4622" spans="1:3" x14ac:dyDescent="0.35">
      <c r="A4622" t="s">
        <v>88</v>
      </c>
      <c r="B4622">
        <v>2001</v>
      </c>
      <c r="C4622">
        <v>2842.0467904248862</v>
      </c>
    </row>
    <row r="4623" spans="1:3" x14ac:dyDescent="0.35">
      <c r="A4623" t="s">
        <v>88</v>
      </c>
      <c r="B4623">
        <v>2002</v>
      </c>
      <c r="C4623">
        <v>3273.4018933825378</v>
      </c>
    </row>
    <row r="4624" spans="1:3" x14ac:dyDescent="0.35">
      <c r="A4624" t="s">
        <v>88</v>
      </c>
      <c r="B4624">
        <v>2003</v>
      </c>
      <c r="C4624">
        <v>3722.8147942928381</v>
      </c>
    </row>
    <row r="4625" spans="1:3" x14ac:dyDescent="0.35">
      <c r="A4625" t="s">
        <v>88</v>
      </c>
      <c r="B4625">
        <v>2004</v>
      </c>
      <c r="C4625">
        <v>4128.1954893671073</v>
      </c>
    </row>
    <row r="4626" spans="1:3" x14ac:dyDescent="0.35">
      <c r="A4626" t="s">
        <v>88</v>
      </c>
      <c r="B4626">
        <v>2005</v>
      </c>
      <c r="C4626">
        <v>4587.1174251652956</v>
      </c>
    </row>
    <row r="4627" spans="1:3" x14ac:dyDescent="0.35">
      <c r="A4627" t="s">
        <v>88</v>
      </c>
      <c r="B4627">
        <v>2006</v>
      </c>
      <c r="C4627">
        <v>4969.1976114668178</v>
      </c>
    </row>
    <row r="4628" spans="1:3" x14ac:dyDescent="0.35">
      <c r="A4628" t="s">
        <v>88</v>
      </c>
      <c r="B4628">
        <v>2007</v>
      </c>
      <c r="C4628">
        <v>5342.5751376803837</v>
      </c>
    </row>
    <row r="4629" spans="1:3" x14ac:dyDescent="0.35">
      <c r="A4629" t="s">
        <v>88</v>
      </c>
      <c r="B4629">
        <v>2008</v>
      </c>
      <c r="C4629">
        <v>5226.6787865015331</v>
      </c>
    </row>
    <row r="4630" spans="1:3" x14ac:dyDescent="0.35">
      <c r="A4630" t="s">
        <v>88</v>
      </c>
      <c r="B4630">
        <v>2009</v>
      </c>
      <c r="C4630">
        <v>5274.5649707696084</v>
      </c>
    </row>
    <row r="4631" spans="1:3" x14ac:dyDescent="0.35">
      <c r="A4631" t="s">
        <v>88</v>
      </c>
      <c r="B4631">
        <v>2010</v>
      </c>
      <c r="C4631">
        <v>5974.6131760761937</v>
      </c>
    </row>
    <row r="4632" spans="1:3" x14ac:dyDescent="0.35">
      <c r="A4632" t="s">
        <v>88</v>
      </c>
      <c r="B4632">
        <v>2011</v>
      </c>
      <c r="C4632">
        <v>6954.7875112631655</v>
      </c>
    </row>
    <row r="4633" spans="1:3" x14ac:dyDescent="0.35">
      <c r="A4633" t="s">
        <v>88</v>
      </c>
      <c r="B4633">
        <v>2012</v>
      </c>
      <c r="C4633">
        <v>7478.8318885767148</v>
      </c>
    </row>
    <row r="4634" spans="1:3" x14ac:dyDescent="0.35">
      <c r="A4634" t="s">
        <v>88</v>
      </c>
      <c r="B4634">
        <v>2013</v>
      </c>
      <c r="C4634">
        <v>7655.6789892648731</v>
      </c>
    </row>
    <row r="4635" spans="1:3" x14ac:dyDescent="0.35">
      <c r="A4635" t="s">
        <v>88</v>
      </c>
      <c r="B4635">
        <v>2014</v>
      </c>
      <c r="C4635">
        <v>8676.5107101124922</v>
      </c>
    </row>
    <row r="4636" spans="1:3" x14ac:dyDescent="0.35">
      <c r="A4636" t="s">
        <v>88</v>
      </c>
      <c r="B4636">
        <v>2015</v>
      </c>
      <c r="C4636">
        <v>9506.4416312312078</v>
      </c>
    </row>
    <row r="4637" spans="1:3" x14ac:dyDescent="0.35">
      <c r="A4637" t="s">
        <v>88</v>
      </c>
      <c r="B4637">
        <v>2016</v>
      </c>
      <c r="C4637">
        <v>10007.123565494521</v>
      </c>
    </row>
    <row r="4638" spans="1:3" x14ac:dyDescent="0.35">
      <c r="A4638" t="s">
        <v>88</v>
      </c>
      <c r="B4638">
        <v>2017</v>
      </c>
      <c r="C4638">
        <v>11342.797036360804</v>
      </c>
    </row>
    <row r="4639" spans="1:3" x14ac:dyDescent="0.35">
      <c r="A4639" t="s">
        <v>88</v>
      </c>
      <c r="B4639">
        <v>2018</v>
      </c>
      <c r="C4639">
        <v>11538.963629868964</v>
      </c>
    </row>
    <row r="4640" spans="1:3" x14ac:dyDescent="0.35">
      <c r="A4640" t="s">
        <v>88</v>
      </c>
      <c r="B4640">
        <v>2019</v>
      </c>
      <c r="C4640">
        <v>10234.206471449659</v>
      </c>
    </row>
    <row r="4641" spans="1:3" x14ac:dyDescent="0.35">
      <c r="A4641" t="s">
        <v>88</v>
      </c>
      <c r="B4641">
        <v>2020</v>
      </c>
      <c r="C4641">
        <v>10242.196437022767</v>
      </c>
    </row>
    <row r="4642" spans="1:3" x14ac:dyDescent="0.35">
      <c r="A4642" t="s">
        <v>88</v>
      </c>
      <c r="B4642">
        <v>2021</v>
      </c>
      <c r="C4642">
        <v>11616.6381367664</v>
      </c>
    </row>
    <row r="4643" spans="1:3" x14ac:dyDescent="0.35">
      <c r="A4643" t="s">
        <v>88</v>
      </c>
      <c r="B4643">
        <v>2022</v>
      </c>
      <c r="C4643">
        <v>10336.494224143536</v>
      </c>
    </row>
    <row r="4644" spans="1:3" x14ac:dyDescent="0.35">
      <c r="A4644" t="s">
        <v>88</v>
      </c>
      <c r="B4644">
        <v>2023</v>
      </c>
      <c r="C4644">
        <v>8626.1575883701062</v>
      </c>
    </row>
    <row r="4645" spans="1:3" x14ac:dyDescent="0.35">
      <c r="A4645" t="s">
        <v>88</v>
      </c>
      <c r="B4645">
        <v>2024</v>
      </c>
      <c r="C4645">
        <v>10303.476993983779</v>
      </c>
    </row>
    <row r="4646" spans="1:3" x14ac:dyDescent="0.35">
      <c r="A4646" t="s">
        <v>88</v>
      </c>
      <c r="B4646">
        <v>2025</v>
      </c>
      <c r="C4646">
        <v>11871.380866105368</v>
      </c>
    </row>
    <row r="4647" spans="1:3" x14ac:dyDescent="0.35">
      <c r="A4647" t="s">
        <v>89</v>
      </c>
      <c r="B4647">
        <v>1951</v>
      </c>
      <c r="C4647">
        <v>2.4832524832524836</v>
      </c>
    </row>
    <row r="4648" spans="1:3" x14ac:dyDescent="0.35">
      <c r="A4648" t="s">
        <v>89</v>
      </c>
      <c r="B4648">
        <v>1952</v>
      </c>
      <c r="C4648">
        <v>3.2182532182532184</v>
      </c>
    </row>
    <row r="4649" spans="1:3" x14ac:dyDescent="0.35">
      <c r="A4649" t="s">
        <v>89</v>
      </c>
      <c r="B4649">
        <v>1953</v>
      </c>
      <c r="C4649">
        <v>4.4467544467544471</v>
      </c>
    </row>
    <row r="4650" spans="1:3" x14ac:dyDescent="0.35">
      <c r="A4650" t="s">
        <v>89</v>
      </c>
      <c r="B4650">
        <v>1954</v>
      </c>
      <c r="C4650">
        <v>7.0455070455070459</v>
      </c>
    </row>
    <row r="4651" spans="1:3" x14ac:dyDescent="0.35">
      <c r="A4651" t="s">
        <v>89</v>
      </c>
      <c r="B4651">
        <v>1955</v>
      </c>
      <c r="C4651">
        <v>6.4207564207564207</v>
      </c>
    </row>
    <row r="4652" spans="1:3" x14ac:dyDescent="0.35">
      <c r="A4652" t="s">
        <v>89</v>
      </c>
      <c r="B4652">
        <v>1956</v>
      </c>
      <c r="C4652">
        <v>7.6545076545076549</v>
      </c>
    </row>
    <row r="4653" spans="1:3" x14ac:dyDescent="0.35">
      <c r="A4653" t="s">
        <v>89</v>
      </c>
      <c r="B4653">
        <v>1957</v>
      </c>
      <c r="C4653">
        <v>10.736260736260736</v>
      </c>
    </row>
    <row r="4654" spans="1:3" x14ac:dyDescent="0.35">
      <c r="A4654" t="s">
        <v>89</v>
      </c>
      <c r="B4654">
        <v>1958</v>
      </c>
      <c r="C4654">
        <v>15.456015456015457</v>
      </c>
    </row>
    <row r="4655" spans="1:3" x14ac:dyDescent="0.35">
      <c r="A4655" t="s">
        <v>89</v>
      </c>
      <c r="B4655">
        <v>1959</v>
      </c>
      <c r="C4655">
        <v>16.789516789516792</v>
      </c>
    </row>
    <row r="4656" spans="1:3" x14ac:dyDescent="0.35">
      <c r="A4656" t="s">
        <v>89</v>
      </c>
      <c r="B4656">
        <v>1960</v>
      </c>
      <c r="C4656">
        <v>16.653016653016653</v>
      </c>
    </row>
    <row r="4657" spans="1:3" x14ac:dyDescent="0.35">
      <c r="A4657" t="s">
        <v>89</v>
      </c>
      <c r="B4657">
        <v>1961</v>
      </c>
      <c r="C4657">
        <v>17.083517083517087</v>
      </c>
    </row>
    <row r="4658" spans="1:3" x14ac:dyDescent="0.35">
      <c r="A4658" t="s">
        <v>89</v>
      </c>
      <c r="B4658">
        <v>1962</v>
      </c>
      <c r="C4658">
        <v>15.84976584976585</v>
      </c>
    </row>
    <row r="4659" spans="1:3" x14ac:dyDescent="0.35">
      <c r="A4659" t="s">
        <v>89</v>
      </c>
      <c r="B4659">
        <v>1963</v>
      </c>
      <c r="C4659">
        <v>13.917763917763921</v>
      </c>
    </row>
    <row r="4660" spans="1:3" x14ac:dyDescent="0.35">
      <c r="A4660" t="s">
        <v>89</v>
      </c>
      <c r="B4660">
        <v>1964</v>
      </c>
      <c r="C4660">
        <v>13.938763938763941</v>
      </c>
    </row>
    <row r="4661" spans="1:3" x14ac:dyDescent="0.35">
      <c r="A4661" t="s">
        <v>89</v>
      </c>
      <c r="B4661">
        <v>1965</v>
      </c>
      <c r="C4661">
        <v>14.474264474264475</v>
      </c>
    </row>
    <row r="4662" spans="1:3" x14ac:dyDescent="0.35">
      <c r="A4662" t="s">
        <v>89</v>
      </c>
      <c r="B4662">
        <v>1966</v>
      </c>
      <c r="C4662">
        <v>15.282765282765284</v>
      </c>
    </row>
    <row r="4663" spans="1:3" x14ac:dyDescent="0.35">
      <c r="A4663" t="s">
        <v>89</v>
      </c>
      <c r="B4663">
        <v>1967</v>
      </c>
      <c r="C4663">
        <v>15.711432162613066</v>
      </c>
    </row>
    <row r="4664" spans="1:3" x14ac:dyDescent="0.35">
      <c r="A4664" t="s">
        <v>89</v>
      </c>
      <c r="B4664">
        <v>1968</v>
      </c>
      <c r="C4664">
        <v>14.305226321616432</v>
      </c>
    </row>
    <row r="4665" spans="1:3" x14ac:dyDescent="0.35">
      <c r="A4665" t="s">
        <v>89</v>
      </c>
      <c r="B4665">
        <v>1969</v>
      </c>
      <c r="C4665">
        <v>15.863429188709706</v>
      </c>
    </row>
    <row r="4666" spans="1:3" x14ac:dyDescent="0.35">
      <c r="A4666" t="s">
        <v>89</v>
      </c>
      <c r="B4666">
        <v>1970</v>
      </c>
      <c r="C4666">
        <v>21.04203871735124</v>
      </c>
    </row>
    <row r="4667" spans="1:3" x14ac:dyDescent="0.35">
      <c r="A4667" t="s">
        <v>89</v>
      </c>
      <c r="B4667">
        <v>1971</v>
      </c>
      <c r="C4667">
        <v>32.258064516129032</v>
      </c>
    </row>
    <row r="4668" spans="1:3" x14ac:dyDescent="0.35">
      <c r="A4668" t="s">
        <v>89</v>
      </c>
      <c r="B4668">
        <v>1972</v>
      </c>
      <c r="C4668">
        <v>30.283133902370395</v>
      </c>
    </row>
    <row r="4669" spans="1:3" x14ac:dyDescent="0.35">
      <c r="A4669" t="s">
        <v>89</v>
      </c>
      <c r="B4669">
        <v>1973</v>
      </c>
      <c r="C4669">
        <v>25.146427176884028</v>
      </c>
    </row>
    <row r="4670" spans="1:3" x14ac:dyDescent="0.35">
      <c r="A4670" t="s">
        <v>89</v>
      </c>
      <c r="B4670">
        <v>1974</v>
      </c>
      <c r="C4670">
        <v>28.41784761117167</v>
      </c>
    </row>
    <row r="4671" spans="1:3" x14ac:dyDescent="0.35">
      <c r="A4671" t="s">
        <v>89</v>
      </c>
      <c r="B4671">
        <v>1975</v>
      </c>
      <c r="C4671">
        <v>30.478781020012356</v>
      </c>
    </row>
    <row r="4672" spans="1:3" x14ac:dyDescent="0.35">
      <c r="A4672" t="s">
        <v>89</v>
      </c>
      <c r="B4672">
        <v>1976</v>
      </c>
      <c r="C4672">
        <v>23.669757489300995</v>
      </c>
    </row>
    <row r="4673" spans="1:3" x14ac:dyDescent="0.35">
      <c r="A4673" t="s">
        <v>89</v>
      </c>
      <c r="B4673">
        <v>1977</v>
      </c>
      <c r="C4673">
        <v>28.081232256224901</v>
      </c>
    </row>
    <row r="4674" spans="1:3" x14ac:dyDescent="0.35">
      <c r="A4674" t="s">
        <v>89</v>
      </c>
      <c r="B4674">
        <v>1978</v>
      </c>
      <c r="C4674">
        <v>21.946485423459553</v>
      </c>
    </row>
    <row r="4675" spans="1:3" x14ac:dyDescent="0.35">
      <c r="A4675" t="s">
        <v>89</v>
      </c>
      <c r="B4675">
        <v>1979</v>
      </c>
      <c r="C4675">
        <v>28.07318357543765</v>
      </c>
    </row>
    <row r="4676" spans="1:3" x14ac:dyDescent="0.35">
      <c r="A4676" t="s">
        <v>89</v>
      </c>
      <c r="B4676">
        <v>1980</v>
      </c>
      <c r="C4676">
        <v>30.811520224501642</v>
      </c>
    </row>
    <row r="4677" spans="1:3" x14ac:dyDescent="0.35">
      <c r="A4677" t="s">
        <v>89</v>
      </c>
      <c r="B4677">
        <v>1981</v>
      </c>
      <c r="C4677">
        <v>27.684625656640183</v>
      </c>
    </row>
    <row r="4678" spans="1:3" x14ac:dyDescent="0.35">
      <c r="A4678" t="s">
        <v>89</v>
      </c>
      <c r="B4678">
        <v>1982</v>
      </c>
      <c r="C4678">
        <v>25.974668703933268</v>
      </c>
    </row>
    <row r="4679" spans="1:3" x14ac:dyDescent="0.35">
      <c r="A4679" t="s">
        <v>89</v>
      </c>
      <c r="B4679">
        <v>1983</v>
      </c>
      <c r="C4679">
        <v>45.952585364195066</v>
      </c>
    </row>
    <row r="4680" spans="1:3" x14ac:dyDescent="0.35">
      <c r="A4680" t="s">
        <v>89</v>
      </c>
      <c r="B4680">
        <v>1984</v>
      </c>
      <c r="C4680">
        <v>55.750799977985864</v>
      </c>
    </row>
    <row r="4681" spans="1:3" x14ac:dyDescent="0.35">
      <c r="A4681" t="s">
        <v>89</v>
      </c>
      <c r="B4681">
        <v>1985</v>
      </c>
      <c r="C4681">
        <v>188.94730254099386</v>
      </c>
    </row>
    <row r="4682" spans="1:3" x14ac:dyDescent="0.35">
      <c r="A4682" t="s">
        <v>89</v>
      </c>
      <c r="B4682">
        <v>1986</v>
      </c>
      <c r="C4682">
        <v>172.74326933715955</v>
      </c>
    </row>
    <row r="4683" spans="1:3" x14ac:dyDescent="0.35">
      <c r="A4683" t="s">
        <v>89</v>
      </c>
      <c r="B4683">
        <v>1987</v>
      </c>
      <c r="C4683">
        <v>226.69954185303297</v>
      </c>
    </row>
    <row r="4684" spans="1:3" x14ac:dyDescent="0.35">
      <c r="A4684" t="s">
        <v>89</v>
      </c>
      <c r="B4684">
        <v>1988</v>
      </c>
      <c r="C4684">
        <v>165.48662550146511</v>
      </c>
    </row>
    <row r="4685" spans="1:3" x14ac:dyDescent="0.35">
      <c r="A4685" t="s">
        <v>89</v>
      </c>
      <c r="B4685">
        <v>1989</v>
      </c>
      <c r="C4685">
        <v>125.68278724224695</v>
      </c>
    </row>
    <row r="4686" spans="1:3" x14ac:dyDescent="0.35">
      <c r="A4686" t="s">
        <v>89</v>
      </c>
      <c r="B4686">
        <v>1990</v>
      </c>
      <c r="C4686">
        <v>187.02340569454532</v>
      </c>
    </row>
    <row r="4687" spans="1:3" x14ac:dyDescent="0.35">
      <c r="A4687" t="s">
        <v>89</v>
      </c>
      <c r="B4687">
        <v>1991</v>
      </c>
      <c r="C4687">
        <v>277.3890238449174</v>
      </c>
    </row>
    <row r="4688" spans="1:3" x14ac:dyDescent="0.35">
      <c r="A4688" t="s">
        <v>89</v>
      </c>
      <c r="B4688">
        <v>1992</v>
      </c>
      <c r="C4688">
        <v>326.76547356124627</v>
      </c>
    </row>
    <row r="4689" spans="1:3" x14ac:dyDescent="0.35">
      <c r="A4689" t="s">
        <v>89</v>
      </c>
      <c r="B4689">
        <v>1993</v>
      </c>
      <c r="C4689">
        <v>354.78517120495337</v>
      </c>
    </row>
    <row r="4690" spans="1:3" x14ac:dyDescent="0.35">
      <c r="A4690" t="s">
        <v>89</v>
      </c>
      <c r="B4690">
        <v>1994</v>
      </c>
      <c r="C4690">
        <v>437.03240507456218</v>
      </c>
    </row>
    <row r="4691" spans="1:3" x14ac:dyDescent="0.35">
      <c r="A4691" t="s">
        <v>89</v>
      </c>
      <c r="B4691">
        <v>1995</v>
      </c>
      <c r="C4691">
        <v>763.66396366162212</v>
      </c>
    </row>
    <row r="4692" spans="1:3" x14ac:dyDescent="0.35">
      <c r="A4692" t="s">
        <v>89</v>
      </c>
      <c r="B4692">
        <v>1996</v>
      </c>
      <c r="C4692">
        <v>767.1055916803266</v>
      </c>
    </row>
    <row r="4693" spans="1:3" x14ac:dyDescent="0.35">
      <c r="A4693" t="s">
        <v>89</v>
      </c>
      <c r="B4693">
        <v>1997</v>
      </c>
      <c r="C4693">
        <v>698.79277086377397</v>
      </c>
    </row>
    <row r="4694" spans="1:3" x14ac:dyDescent="0.35">
      <c r="A4694" t="s">
        <v>89</v>
      </c>
      <c r="B4694">
        <v>1998</v>
      </c>
      <c r="C4694">
        <v>733.43563470033394</v>
      </c>
    </row>
    <row r="4695" spans="1:3" x14ac:dyDescent="0.35">
      <c r="A4695" t="s">
        <v>89</v>
      </c>
      <c r="B4695">
        <v>1999</v>
      </c>
      <c r="C4695">
        <v>631.01415010865651</v>
      </c>
    </row>
    <row r="4696" spans="1:3" x14ac:dyDescent="0.35">
      <c r="A4696" t="s">
        <v>89</v>
      </c>
      <c r="B4696">
        <v>2000</v>
      </c>
      <c r="C4696">
        <v>822.12736559007135</v>
      </c>
    </row>
    <row r="4697" spans="1:3" x14ac:dyDescent="0.35">
      <c r="A4697" t="s">
        <v>89</v>
      </c>
      <c r="B4697">
        <v>2001</v>
      </c>
      <c r="C4697">
        <v>675.0165020193997</v>
      </c>
    </row>
    <row r="4698" spans="1:3" x14ac:dyDescent="0.35">
      <c r="A4698" t="s">
        <v>89</v>
      </c>
      <c r="B4698">
        <v>2002</v>
      </c>
      <c r="C4698">
        <v>571.65795022271095</v>
      </c>
    </row>
    <row r="4699" spans="1:3" x14ac:dyDescent="0.35">
      <c r="A4699" t="s">
        <v>89</v>
      </c>
      <c r="B4699">
        <v>2003</v>
      </c>
      <c r="C4699">
        <v>541.69558956082096</v>
      </c>
    </row>
    <row r="4700" spans="1:3" x14ac:dyDescent="0.35">
      <c r="A4700" t="s">
        <v>89</v>
      </c>
      <c r="B4700">
        <v>2004</v>
      </c>
      <c r="C4700">
        <v>619.30549242049915</v>
      </c>
    </row>
    <row r="4701" spans="1:3" x14ac:dyDescent="0.35">
      <c r="A4701" t="s">
        <v>89</v>
      </c>
      <c r="B4701">
        <v>2005</v>
      </c>
      <c r="C4701">
        <v>644.21182511094753</v>
      </c>
    </row>
    <row r="4702" spans="1:3" x14ac:dyDescent="0.35">
      <c r="A4702" t="s">
        <v>89</v>
      </c>
      <c r="B4702">
        <v>2006</v>
      </c>
      <c r="C4702">
        <v>791.49104066824486</v>
      </c>
    </row>
    <row r="4703" spans="1:3" x14ac:dyDescent="0.35">
      <c r="A4703" t="s">
        <v>89</v>
      </c>
      <c r="B4703">
        <v>2007</v>
      </c>
      <c r="C4703">
        <v>1054.8168102474169</v>
      </c>
    </row>
    <row r="4704" spans="1:3" x14ac:dyDescent="0.35">
      <c r="A4704" t="s">
        <v>89</v>
      </c>
      <c r="B4704">
        <v>2008</v>
      </c>
      <c r="C4704">
        <v>1511.3630069968801</v>
      </c>
    </row>
    <row r="4705" spans="1:3" x14ac:dyDescent="0.35">
      <c r="A4705" t="s">
        <v>89</v>
      </c>
      <c r="B4705">
        <v>2009</v>
      </c>
      <c r="C4705">
        <v>1522.2323720040022</v>
      </c>
    </row>
    <row r="4706" spans="1:3" x14ac:dyDescent="0.35">
      <c r="A4706" t="s">
        <v>89</v>
      </c>
      <c r="B4706">
        <v>2010</v>
      </c>
      <c r="C4706">
        <v>1532.0261091063469</v>
      </c>
    </row>
    <row r="4707" spans="1:3" x14ac:dyDescent="0.35">
      <c r="A4707" t="s">
        <v>89</v>
      </c>
      <c r="B4707">
        <v>2011</v>
      </c>
      <c r="C4707">
        <v>1753.3215755437977</v>
      </c>
    </row>
    <row r="4708" spans="1:3" x14ac:dyDescent="0.35">
      <c r="A4708" t="s">
        <v>89</v>
      </c>
      <c r="B4708">
        <v>2012</v>
      </c>
      <c r="C4708">
        <v>1474.9026276811674</v>
      </c>
    </row>
    <row r="4709" spans="1:3" x14ac:dyDescent="0.35">
      <c r="A4709" t="s">
        <v>89</v>
      </c>
      <c r="B4709">
        <v>2013</v>
      </c>
      <c r="C4709">
        <v>1600.8414104083865</v>
      </c>
    </row>
    <row r="4710" spans="1:3" x14ac:dyDescent="0.35">
      <c r="A4710" t="s">
        <v>89</v>
      </c>
      <c r="B4710">
        <v>2014</v>
      </c>
      <c r="C4710">
        <v>1914.5912202907846</v>
      </c>
    </row>
    <row r="4711" spans="1:3" x14ac:dyDescent="0.35">
      <c r="A4711" t="s">
        <v>89</v>
      </c>
      <c r="B4711">
        <v>2015</v>
      </c>
      <c r="C4711">
        <v>2057.8664069716037</v>
      </c>
    </row>
    <row r="4712" spans="1:3" x14ac:dyDescent="0.35">
      <c r="A4712" t="s">
        <v>89</v>
      </c>
      <c r="B4712">
        <v>2016</v>
      </c>
      <c r="C4712">
        <v>1742.0758009513327</v>
      </c>
    </row>
    <row r="4713" spans="1:3" x14ac:dyDescent="0.35">
      <c r="A4713" t="s">
        <v>89</v>
      </c>
      <c r="B4713">
        <v>2017</v>
      </c>
      <c r="C4713">
        <v>1865.7506767957689</v>
      </c>
    </row>
    <row r="4714" spans="1:3" x14ac:dyDescent="0.35">
      <c r="A4714" t="s">
        <v>89</v>
      </c>
      <c r="B4714">
        <v>2018</v>
      </c>
      <c r="C4714">
        <v>1639.179094301667</v>
      </c>
    </row>
    <row r="4715" spans="1:3" x14ac:dyDescent="0.35">
      <c r="A4715" t="s">
        <v>89</v>
      </c>
      <c r="B4715">
        <v>2019</v>
      </c>
      <c r="C4715">
        <v>1559.7198070294389</v>
      </c>
    </row>
    <row r="4716" spans="1:3" x14ac:dyDescent="0.35">
      <c r="A4716" t="s">
        <v>89</v>
      </c>
      <c r="B4716">
        <v>2020</v>
      </c>
      <c r="C4716">
        <v>1484.9787260233804</v>
      </c>
    </row>
    <row r="4717" spans="1:3" x14ac:dyDescent="0.35">
      <c r="A4717" t="s">
        <v>89</v>
      </c>
      <c r="B4717">
        <v>2021</v>
      </c>
      <c r="C4717">
        <v>1523.9053206754888</v>
      </c>
    </row>
    <row r="4718" spans="1:3" x14ac:dyDescent="0.35">
      <c r="A4718" t="s">
        <v>89</v>
      </c>
      <c r="B4718">
        <v>2022</v>
      </c>
      <c r="C4718">
        <v>1005.4251347838832</v>
      </c>
    </row>
    <row r="4719" spans="1:3" x14ac:dyDescent="0.35">
      <c r="A4719" t="s">
        <v>89</v>
      </c>
      <c r="B4719">
        <v>2023</v>
      </c>
      <c r="C4719">
        <v>1107.5565311877758</v>
      </c>
    </row>
    <row r="4720" spans="1:3" x14ac:dyDescent="0.35">
      <c r="A4720" t="s">
        <v>89</v>
      </c>
      <c r="B4720">
        <v>2024</v>
      </c>
      <c r="C4720">
        <v>1263.8566828764128</v>
      </c>
    </row>
    <row r="4721" spans="1:3" x14ac:dyDescent="0.35">
      <c r="A4721" t="s">
        <v>89</v>
      </c>
      <c r="B4721">
        <v>2025</v>
      </c>
      <c r="C4721">
        <v>1390.7309871518632</v>
      </c>
    </row>
    <row r="4722" spans="1:3" x14ac:dyDescent="0.35">
      <c r="A4722" t="s">
        <v>90</v>
      </c>
      <c r="B4722">
        <v>1989</v>
      </c>
      <c r="C4722">
        <v>11251.332630387957</v>
      </c>
    </row>
    <row r="4723" spans="1:3" x14ac:dyDescent="0.35">
      <c r="A4723" t="s">
        <v>90</v>
      </c>
      <c r="B4723">
        <v>1990</v>
      </c>
      <c r="C4723">
        <v>9926.3492508169202</v>
      </c>
    </row>
    <row r="4724" spans="1:3" x14ac:dyDescent="0.35">
      <c r="A4724" t="s">
        <v>90</v>
      </c>
      <c r="B4724">
        <v>1991</v>
      </c>
      <c r="C4724">
        <v>9802.3753660731236</v>
      </c>
    </row>
    <row r="4725" spans="1:3" x14ac:dyDescent="0.35">
      <c r="A4725" t="s">
        <v>90</v>
      </c>
      <c r="B4725">
        <v>1992</v>
      </c>
      <c r="C4725">
        <v>12244.267842214926</v>
      </c>
    </row>
    <row r="4726" spans="1:3" x14ac:dyDescent="0.35">
      <c r="A4726" t="s">
        <v>90</v>
      </c>
      <c r="B4726">
        <v>1993</v>
      </c>
      <c r="C4726">
        <v>12360.225860644641</v>
      </c>
    </row>
    <row r="4727" spans="1:3" x14ac:dyDescent="0.35">
      <c r="A4727" t="s">
        <v>90</v>
      </c>
      <c r="B4727">
        <v>1994</v>
      </c>
      <c r="C4727">
        <v>9867.1200662741849</v>
      </c>
    </row>
    <row r="4728" spans="1:3" x14ac:dyDescent="0.35">
      <c r="A4728" t="s">
        <v>90</v>
      </c>
      <c r="B4728">
        <v>1995</v>
      </c>
      <c r="C4728">
        <v>12385.129474987487</v>
      </c>
    </row>
    <row r="4729" spans="1:3" x14ac:dyDescent="0.35">
      <c r="A4729" t="s">
        <v>90</v>
      </c>
      <c r="B4729">
        <v>1996</v>
      </c>
      <c r="C4729">
        <v>14275.400819973162</v>
      </c>
    </row>
    <row r="4730" spans="1:3" x14ac:dyDescent="0.35">
      <c r="A4730" t="s">
        <v>90</v>
      </c>
      <c r="B4730">
        <v>1997</v>
      </c>
      <c r="C4730">
        <v>15699.586768575462</v>
      </c>
    </row>
    <row r="4731" spans="1:3" x14ac:dyDescent="0.35">
      <c r="A4731" t="s">
        <v>90</v>
      </c>
      <c r="B4731">
        <v>1998</v>
      </c>
      <c r="C4731">
        <v>17031.780199691813</v>
      </c>
    </row>
    <row r="4732" spans="1:3" x14ac:dyDescent="0.35">
      <c r="A4732" t="s">
        <v>90</v>
      </c>
      <c r="B4732">
        <v>1999</v>
      </c>
      <c r="C4732">
        <v>20473.915094766675</v>
      </c>
    </row>
    <row r="4733" spans="1:3" x14ac:dyDescent="0.35">
      <c r="A4733" t="s">
        <v>90</v>
      </c>
      <c r="B4733">
        <v>2000</v>
      </c>
      <c r="C4733">
        <v>22237.140151214495</v>
      </c>
    </row>
    <row r="4734" spans="1:3" x14ac:dyDescent="0.35">
      <c r="A4734" t="s">
        <v>90</v>
      </c>
      <c r="B4734">
        <v>2001</v>
      </c>
      <c r="C4734">
        <v>26561.462998292423</v>
      </c>
    </row>
    <row r="4735" spans="1:3" x14ac:dyDescent="0.35">
      <c r="A4735" t="s">
        <v>90</v>
      </c>
      <c r="B4735">
        <v>2002</v>
      </c>
      <c r="C4735">
        <v>30284.127409997203</v>
      </c>
    </row>
    <row r="4736" spans="1:3" x14ac:dyDescent="0.35">
      <c r="A4736" t="s">
        <v>90</v>
      </c>
      <c r="B4736">
        <v>2003</v>
      </c>
      <c r="C4736">
        <v>33144.000481445801</v>
      </c>
    </row>
    <row r="4737" spans="1:3" x14ac:dyDescent="0.35">
      <c r="A4737" t="s">
        <v>90</v>
      </c>
      <c r="B4737">
        <v>2004</v>
      </c>
      <c r="C4737">
        <v>37904.571826996049</v>
      </c>
    </row>
    <row r="4738" spans="1:3" x14ac:dyDescent="0.35">
      <c r="A4738" t="s">
        <v>90</v>
      </c>
      <c r="B4738">
        <v>2005</v>
      </c>
      <c r="C4738">
        <v>42789.95365090244</v>
      </c>
    </row>
    <row r="4739" spans="1:3" x14ac:dyDescent="0.35">
      <c r="A4739" t="s">
        <v>90</v>
      </c>
      <c r="B4739">
        <v>2006</v>
      </c>
      <c r="C4739">
        <v>51453.37323384863</v>
      </c>
    </row>
    <row r="4740" spans="1:3" x14ac:dyDescent="0.35">
      <c r="A4740" t="s">
        <v>90</v>
      </c>
      <c r="B4740">
        <v>2007</v>
      </c>
      <c r="C4740">
        <v>62136.590754588731</v>
      </c>
    </row>
    <row r="4741" spans="1:3" x14ac:dyDescent="0.35">
      <c r="A4741" t="s">
        <v>90</v>
      </c>
      <c r="B4741">
        <v>2008</v>
      </c>
      <c r="C4741">
        <v>78840.80281986286</v>
      </c>
    </row>
    <row r="4742" spans="1:3" x14ac:dyDescent="0.35">
      <c r="A4742" t="s">
        <v>90</v>
      </c>
      <c r="B4742">
        <v>2009</v>
      </c>
      <c r="C4742">
        <v>96601.666752954174</v>
      </c>
    </row>
    <row r="4743" spans="1:3" x14ac:dyDescent="0.35">
      <c r="A4743" t="s">
        <v>90</v>
      </c>
      <c r="B4743">
        <v>2010</v>
      </c>
      <c r="C4743">
        <v>105522.64810183836</v>
      </c>
    </row>
    <row r="4744" spans="1:3" x14ac:dyDescent="0.35">
      <c r="A4744" t="s">
        <v>90</v>
      </c>
      <c r="B4744">
        <v>2011</v>
      </c>
      <c r="C4744">
        <v>125286.37316401086</v>
      </c>
    </row>
    <row r="4745" spans="1:3" x14ac:dyDescent="0.35">
      <c r="A4745" t="s">
        <v>90</v>
      </c>
      <c r="B4745">
        <v>2012</v>
      </c>
      <c r="C4745">
        <v>145127.60959620716</v>
      </c>
    </row>
    <row r="4746" spans="1:3" x14ac:dyDescent="0.35">
      <c r="A4746" t="s">
        <v>90</v>
      </c>
      <c r="B4746">
        <v>2013</v>
      </c>
      <c r="C4746">
        <v>164070.4693217442</v>
      </c>
    </row>
    <row r="4747" spans="1:3" x14ac:dyDescent="0.35">
      <c r="A4747" t="s">
        <v>90</v>
      </c>
      <c r="B4747">
        <v>2014</v>
      </c>
      <c r="C4747">
        <v>182109.20461907954</v>
      </c>
    </row>
    <row r="4748" spans="1:3" x14ac:dyDescent="0.35">
      <c r="A4748" t="s">
        <v>90</v>
      </c>
      <c r="B4748">
        <v>2015</v>
      </c>
      <c r="C4748">
        <v>196538.82723079034</v>
      </c>
    </row>
    <row r="4749" spans="1:3" x14ac:dyDescent="0.35">
      <c r="A4749" t="s">
        <v>90</v>
      </c>
      <c r="B4749">
        <v>2016</v>
      </c>
      <c r="C4749">
        <v>198704.5694815859</v>
      </c>
    </row>
    <row r="4750" spans="1:3" x14ac:dyDescent="0.35">
      <c r="A4750" t="s">
        <v>90</v>
      </c>
      <c r="B4750">
        <v>2017</v>
      </c>
      <c r="C4750">
        <v>210662.38771233734</v>
      </c>
    </row>
    <row r="4751" spans="1:3" x14ac:dyDescent="0.35">
      <c r="A4751" t="s">
        <v>90</v>
      </c>
      <c r="B4751">
        <v>2018</v>
      </c>
      <c r="C4751">
        <v>232542.13654542356</v>
      </c>
    </row>
    <row r="4752" spans="1:3" x14ac:dyDescent="0.35">
      <c r="A4752" t="s">
        <v>90</v>
      </c>
      <c r="B4752">
        <v>2019</v>
      </c>
      <c r="C4752">
        <v>240319.16152889267</v>
      </c>
    </row>
    <row r="4753" spans="1:3" x14ac:dyDescent="0.35">
      <c r="A4753" t="s">
        <v>90</v>
      </c>
      <c r="B4753">
        <v>2020</v>
      </c>
      <c r="C4753">
        <v>258019.51336541362</v>
      </c>
    </row>
    <row r="4754" spans="1:3" x14ac:dyDescent="0.35">
      <c r="A4754" t="s">
        <v>90</v>
      </c>
      <c r="B4754">
        <v>2021</v>
      </c>
      <c r="C4754">
        <v>286064.63057097589</v>
      </c>
    </row>
    <row r="4755" spans="1:3" x14ac:dyDescent="0.35">
      <c r="A4755" t="s">
        <v>90</v>
      </c>
      <c r="B4755">
        <v>2022</v>
      </c>
      <c r="C4755">
        <v>291568.53367894562</v>
      </c>
    </row>
    <row r="4756" spans="1:3" x14ac:dyDescent="0.35">
      <c r="A4756" t="s">
        <v>90</v>
      </c>
      <c r="B4756">
        <v>2023</v>
      </c>
      <c r="C4756">
        <v>296256.20913908485</v>
      </c>
    </row>
    <row r="4757" spans="1:3" x14ac:dyDescent="0.35">
      <c r="A4757" t="s">
        <v>90</v>
      </c>
      <c r="B4757">
        <v>2024</v>
      </c>
      <c r="C4757">
        <v>311900.35060081549</v>
      </c>
    </row>
    <row r="4758" spans="1:3" x14ac:dyDescent="0.35">
      <c r="A4758" t="s">
        <v>90</v>
      </c>
      <c r="B4758">
        <v>2025</v>
      </c>
      <c r="C4758">
        <v>335524.15562444</v>
      </c>
    </row>
    <row r="4759" spans="1:3" x14ac:dyDescent="0.35">
      <c r="A4759" t="s">
        <v>91</v>
      </c>
      <c r="B4759">
        <v>1952</v>
      </c>
      <c r="C4759">
        <v>356.54943229022433</v>
      </c>
    </row>
    <row r="4760" spans="1:3" x14ac:dyDescent="0.35">
      <c r="A4760" t="s">
        <v>91</v>
      </c>
      <c r="B4760">
        <v>1953</v>
      </c>
      <c r="C4760">
        <v>395.83333333333331</v>
      </c>
    </row>
    <row r="4761" spans="1:3" x14ac:dyDescent="0.35">
      <c r="A4761" t="s">
        <v>91</v>
      </c>
      <c r="B4761">
        <v>1954</v>
      </c>
      <c r="C4761">
        <v>475</v>
      </c>
    </row>
    <row r="4762" spans="1:3" x14ac:dyDescent="0.35">
      <c r="A4762" t="s">
        <v>91</v>
      </c>
      <c r="B4762">
        <v>1955</v>
      </c>
      <c r="C4762">
        <v>488.88888888888891</v>
      </c>
    </row>
    <row r="4763" spans="1:3" x14ac:dyDescent="0.35">
      <c r="A4763" t="s">
        <v>91</v>
      </c>
      <c r="B4763">
        <v>1956</v>
      </c>
      <c r="C4763">
        <v>456.9444444444444</v>
      </c>
    </row>
    <row r="4764" spans="1:3" x14ac:dyDescent="0.35">
      <c r="A4764" t="s">
        <v>91</v>
      </c>
      <c r="B4764">
        <v>1957</v>
      </c>
      <c r="C4764">
        <v>451.38888888888891</v>
      </c>
    </row>
    <row r="4765" spans="1:3" x14ac:dyDescent="0.35">
      <c r="A4765" t="s">
        <v>91</v>
      </c>
      <c r="B4765">
        <v>1958</v>
      </c>
      <c r="C4765">
        <v>459.02777777777777</v>
      </c>
    </row>
    <row r="4766" spans="1:3" x14ac:dyDescent="0.35">
      <c r="A4766" t="s">
        <v>91</v>
      </c>
      <c r="B4766">
        <v>1959</v>
      </c>
      <c r="C4766">
        <v>463.1944444444444</v>
      </c>
    </row>
    <row r="4767" spans="1:3" x14ac:dyDescent="0.35">
      <c r="A4767" t="s">
        <v>91</v>
      </c>
      <c r="B4767">
        <v>1960</v>
      </c>
      <c r="C4767">
        <v>480.5555555555556</v>
      </c>
    </row>
    <row r="4768" spans="1:3" x14ac:dyDescent="0.35">
      <c r="A4768" t="s">
        <v>91</v>
      </c>
      <c r="B4768">
        <v>1961</v>
      </c>
      <c r="C4768">
        <v>492.36111111111109</v>
      </c>
    </row>
    <row r="4769" spans="1:3" x14ac:dyDescent="0.35">
      <c r="A4769" t="s">
        <v>91</v>
      </c>
      <c r="B4769">
        <v>1962</v>
      </c>
      <c r="C4769">
        <v>538.19444444444446</v>
      </c>
    </row>
    <row r="4770" spans="1:3" x14ac:dyDescent="0.35">
      <c r="A4770" t="s">
        <v>91</v>
      </c>
      <c r="B4770">
        <v>1963</v>
      </c>
      <c r="C4770">
        <v>629.8611111111112</v>
      </c>
    </row>
    <row r="4771" spans="1:3" x14ac:dyDescent="0.35">
      <c r="A4771" t="s">
        <v>91</v>
      </c>
      <c r="B4771">
        <v>1964</v>
      </c>
      <c r="C4771">
        <v>718.05555555555554</v>
      </c>
    </row>
    <row r="4772" spans="1:3" x14ac:dyDescent="0.35">
      <c r="A4772" t="s">
        <v>91</v>
      </c>
      <c r="B4772">
        <v>1965</v>
      </c>
      <c r="C4772">
        <v>821.3888888888888</v>
      </c>
    </row>
    <row r="4773" spans="1:3" x14ac:dyDescent="0.35">
      <c r="A4773" t="s">
        <v>91</v>
      </c>
      <c r="B4773">
        <v>1966</v>
      </c>
      <c r="C4773">
        <v>932.43055555555554</v>
      </c>
    </row>
    <row r="4774" spans="1:3" x14ac:dyDescent="0.35">
      <c r="A4774" t="s">
        <v>91</v>
      </c>
      <c r="B4774">
        <v>1967</v>
      </c>
      <c r="C4774">
        <v>1039.0277777777778</v>
      </c>
    </row>
    <row r="4775" spans="1:3" x14ac:dyDescent="0.35">
      <c r="A4775" t="s">
        <v>91</v>
      </c>
      <c r="B4775">
        <v>1968</v>
      </c>
      <c r="C4775">
        <v>1168.1944444444443</v>
      </c>
    </row>
    <row r="4776" spans="1:3" x14ac:dyDescent="0.35">
      <c r="A4776" t="s">
        <v>91</v>
      </c>
      <c r="B4776">
        <v>1969</v>
      </c>
      <c r="C4776">
        <v>1335.4166666666667</v>
      </c>
    </row>
    <row r="4777" spans="1:3" x14ac:dyDescent="0.35">
      <c r="A4777" t="s">
        <v>91</v>
      </c>
      <c r="B4777">
        <v>1970</v>
      </c>
      <c r="C4777">
        <v>1575.3472222222224</v>
      </c>
    </row>
    <row r="4778" spans="1:3" x14ac:dyDescent="0.35">
      <c r="A4778" t="s">
        <v>91</v>
      </c>
      <c r="B4778">
        <v>1971</v>
      </c>
      <c r="C4778">
        <v>1896.54041599416</v>
      </c>
    </row>
    <row r="4779" spans="1:3" x14ac:dyDescent="0.35">
      <c r="A4779" t="s">
        <v>91</v>
      </c>
      <c r="B4779">
        <v>1972</v>
      </c>
      <c r="C4779">
        <v>2567.5194279155062</v>
      </c>
    </row>
    <row r="4780" spans="1:3" x14ac:dyDescent="0.35">
      <c r="A4780" t="s">
        <v>91</v>
      </c>
      <c r="B4780">
        <v>1973</v>
      </c>
      <c r="C4780">
        <v>3374.5611000287081</v>
      </c>
    </row>
    <row r="4781" spans="1:3" x14ac:dyDescent="0.35">
      <c r="A4781" t="s">
        <v>91</v>
      </c>
      <c r="B4781">
        <v>1974</v>
      </c>
      <c r="C4781">
        <v>3962.157887168672</v>
      </c>
    </row>
    <row r="4782" spans="1:3" x14ac:dyDescent="0.35">
      <c r="A4782" t="s">
        <v>91</v>
      </c>
      <c r="B4782">
        <v>1975</v>
      </c>
      <c r="C4782">
        <v>4534.9021352013397</v>
      </c>
    </row>
    <row r="4783" spans="1:3" x14ac:dyDescent="0.35">
      <c r="A4783" t="s">
        <v>91</v>
      </c>
      <c r="B4783">
        <v>1976</v>
      </c>
      <c r="C4783">
        <v>5008.3965038172055</v>
      </c>
    </row>
    <row r="4784" spans="1:3" x14ac:dyDescent="0.35">
      <c r="A4784" t="s">
        <v>91</v>
      </c>
      <c r="B4784">
        <v>1977</v>
      </c>
      <c r="C4784">
        <v>6157.312576812782</v>
      </c>
    </row>
    <row r="4785" spans="1:3" x14ac:dyDescent="0.35">
      <c r="A4785" t="s">
        <v>91</v>
      </c>
      <c r="B4785">
        <v>1978</v>
      </c>
      <c r="C4785">
        <v>8657.1359329411425</v>
      </c>
    </row>
    <row r="4786" spans="1:3" x14ac:dyDescent="0.35">
      <c r="A4786" t="s">
        <v>91</v>
      </c>
      <c r="B4786">
        <v>1979</v>
      </c>
      <c r="C4786">
        <v>9173.5876608560739</v>
      </c>
    </row>
    <row r="4787" spans="1:3" x14ac:dyDescent="0.35">
      <c r="A4787" t="s">
        <v>91</v>
      </c>
      <c r="B4787">
        <v>1980</v>
      </c>
      <c r="C4787">
        <v>9711.7415906254264</v>
      </c>
    </row>
    <row r="4788" spans="1:3" x14ac:dyDescent="0.35">
      <c r="A4788" t="s">
        <v>91</v>
      </c>
      <c r="B4788">
        <v>1981</v>
      </c>
      <c r="C4788">
        <v>10851.176225196792</v>
      </c>
    </row>
    <row r="4789" spans="1:3" x14ac:dyDescent="0.35">
      <c r="A4789" t="s">
        <v>91</v>
      </c>
      <c r="B4789">
        <v>1982</v>
      </c>
      <c r="C4789">
        <v>10193.936011755402</v>
      </c>
    </row>
    <row r="4790" spans="1:3" x14ac:dyDescent="0.35">
      <c r="A4790" t="s">
        <v>91</v>
      </c>
      <c r="B4790">
        <v>1983</v>
      </c>
      <c r="C4790">
        <v>11429.317255549193</v>
      </c>
    </row>
    <row r="4791" spans="1:3" x14ac:dyDescent="0.35">
      <c r="A4791" t="s">
        <v>91</v>
      </c>
      <c r="B4791">
        <v>1984</v>
      </c>
      <c r="C4791">
        <v>12225.078098028815</v>
      </c>
    </row>
    <row r="4792" spans="1:3" x14ac:dyDescent="0.35">
      <c r="A4792" t="s">
        <v>91</v>
      </c>
      <c r="B4792">
        <v>1985</v>
      </c>
      <c r="C4792">
        <v>13087.751953583527</v>
      </c>
    </row>
    <row r="4793" spans="1:3" x14ac:dyDescent="0.35">
      <c r="A4793" t="s">
        <v>91</v>
      </c>
      <c r="B4793">
        <v>1986</v>
      </c>
      <c r="C4793">
        <v>19457.334441015904</v>
      </c>
    </row>
    <row r="4794" spans="1:3" x14ac:dyDescent="0.35">
      <c r="A4794" t="s">
        <v>91</v>
      </c>
      <c r="B4794">
        <v>1987</v>
      </c>
      <c r="C4794">
        <v>23642.290700166621</v>
      </c>
    </row>
    <row r="4795" spans="1:3" x14ac:dyDescent="0.35">
      <c r="A4795" t="s">
        <v>91</v>
      </c>
      <c r="B4795">
        <v>1988</v>
      </c>
      <c r="C4795">
        <v>28216.102752980838</v>
      </c>
    </row>
    <row r="4796" spans="1:3" x14ac:dyDescent="0.35">
      <c r="A4796" t="s">
        <v>91</v>
      </c>
      <c r="B4796">
        <v>1989</v>
      </c>
      <c r="C4796">
        <v>27966.35354150358</v>
      </c>
    </row>
    <row r="4797" spans="1:3" x14ac:dyDescent="0.35">
      <c r="A4797" t="s">
        <v>91</v>
      </c>
      <c r="B4797">
        <v>1990</v>
      </c>
      <c r="C4797">
        <v>28800.45168241339</v>
      </c>
    </row>
    <row r="4798" spans="1:3" x14ac:dyDescent="0.35">
      <c r="A4798" t="s">
        <v>91</v>
      </c>
      <c r="B4798">
        <v>1991</v>
      </c>
      <c r="C4798">
        <v>32785.415754192436</v>
      </c>
    </row>
    <row r="4799" spans="1:3" x14ac:dyDescent="0.35">
      <c r="A4799" t="s">
        <v>91</v>
      </c>
      <c r="B4799">
        <v>1992</v>
      </c>
      <c r="C4799">
        <v>35999.123575810692</v>
      </c>
    </row>
    <row r="4800" spans="1:3" x14ac:dyDescent="0.35">
      <c r="A4800" t="s">
        <v>91</v>
      </c>
      <c r="B4800">
        <v>1993</v>
      </c>
      <c r="C4800">
        <v>41353.936221874494</v>
      </c>
    </row>
    <row r="4801" spans="1:3" x14ac:dyDescent="0.35">
      <c r="A4801" t="s">
        <v>91</v>
      </c>
      <c r="B4801">
        <v>1994</v>
      </c>
      <c r="C4801">
        <v>45285.594082654978</v>
      </c>
    </row>
    <row r="4802" spans="1:3" x14ac:dyDescent="0.35">
      <c r="A4802" t="s">
        <v>91</v>
      </c>
      <c r="B4802">
        <v>1995</v>
      </c>
      <c r="C4802">
        <v>49961.673236968905</v>
      </c>
    </row>
    <row r="4803" spans="1:3" x14ac:dyDescent="0.35">
      <c r="A4803" t="s">
        <v>91</v>
      </c>
      <c r="B4803">
        <v>1996</v>
      </c>
      <c r="C4803">
        <v>44047.104680131277</v>
      </c>
    </row>
    <row r="4804" spans="1:3" x14ac:dyDescent="0.35">
      <c r="A4804" t="s">
        <v>91</v>
      </c>
      <c r="B4804">
        <v>1997</v>
      </c>
      <c r="C4804">
        <v>40634.840607979102</v>
      </c>
    </row>
    <row r="4805" spans="1:3" x14ac:dyDescent="0.35">
      <c r="A4805" t="s">
        <v>91</v>
      </c>
      <c r="B4805">
        <v>1998</v>
      </c>
      <c r="C4805">
        <v>37849.012642756192</v>
      </c>
    </row>
    <row r="4806" spans="1:3" x14ac:dyDescent="0.35">
      <c r="A4806" t="s">
        <v>91</v>
      </c>
      <c r="B4806">
        <v>1999</v>
      </c>
      <c r="C4806">
        <v>43122.898504920682</v>
      </c>
    </row>
    <row r="4807" spans="1:3" x14ac:dyDescent="0.35">
      <c r="A4807" t="s">
        <v>91</v>
      </c>
      <c r="B4807">
        <v>2000</v>
      </c>
      <c r="C4807">
        <v>45509.673827309423</v>
      </c>
    </row>
    <row r="4808" spans="1:3" x14ac:dyDescent="0.35">
      <c r="A4808" t="s">
        <v>91</v>
      </c>
      <c r="B4808">
        <v>2001</v>
      </c>
      <c r="C4808">
        <v>40757.967234158103</v>
      </c>
    </row>
    <row r="4809" spans="1:3" x14ac:dyDescent="0.35">
      <c r="A4809" t="s">
        <v>91</v>
      </c>
      <c r="B4809">
        <v>2002</v>
      </c>
      <c r="C4809">
        <v>39333.708169840815</v>
      </c>
    </row>
    <row r="4810" spans="1:3" x14ac:dyDescent="0.35">
      <c r="A4810" t="s">
        <v>91</v>
      </c>
      <c r="B4810">
        <v>2003</v>
      </c>
      <c r="C4810">
        <v>42486.177361061986</v>
      </c>
    </row>
    <row r="4811" spans="1:3" x14ac:dyDescent="0.35">
      <c r="A4811" t="s">
        <v>91</v>
      </c>
      <c r="B4811">
        <v>2004</v>
      </c>
      <c r="C4811">
        <v>45339.809414657146</v>
      </c>
    </row>
    <row r="4812" spans="1:3" x14ac:dyDescent="0.35">
      <c r="A4812" t="s">
        <v>91</v>
      </c>
      <c r="B4812">
        <v>2005</v>
      </c>
      <c r="C4812">
        <v>44300.613329946107</v>
      </c>
    </row>
    <row r="4813" spans="1:3" x14ac:dyDescent="0.35">
      <c r="A4813" t="s">
        <v>91</v>
      </c>
      <c r="B4813">
        <v>2006</v>
      </c>
      <c r="C4813">
        <v>41552.592885579405</v>
      </c>
    </row>
    <row r="4814" spans="1:3" x14ac:dyDescent="0.35">
      <c r="A4814" t="s">
        <v>91</v>
      </c>
      <c r="B4814">
        <v>2007</v>
      </c>
      <c r="C4814">
        <v>40530.045688469174</v>
      </c>
    </row>
    <row r="4815" spans="1:3" x14ac:dyDescent="0.35">
      <c r="A4815" t="s">
        <v>91</v>
      </c>
      <c r="B4815">
        <v>2008</v>
      </c>
      <c r="C4815">
        <v>46361.468280459376</v>
      </c>
    </row>
    <row r="4816" spans="1:3" x14ac:dyDescent="0.35">
      <c r="A4816" t="s">
        <v>91</v>
      </c>
      <c r="B4816">
        <v>2009</v>
      </c>
      <c r="C4816">
        <v>51465.158207589819</v>
      </c>
    </row>
    <row r="4817" spans="1:3" x14ac:dyDescent="0.35">
      <c r="A4817" t="s">
        <v>91</v>
      </c>
      <c r="B4817">
        <v>2010</v>
      </c>
      <c r="C4817">
        <v>54655.450735305007</v>
      </c>
    </row>
    <row r="4818" spans="1:3" x14ac:dyDescent="0.35">
      <c r="A4818" t="s">
        <v>91</v>
      </c>
      <c r="B4818">
        <v>2011</v>
      </c>
      <c r="C4818">
        <v>60762.213840891149</v>
      </c>
    </row>
    <row r="4819" spans="1:3" x14ac:dyDescent="0.35">
      <c r="A4819" t="s">
        <v>91</v>
      </c>
      <c r="B4819">
        <v>2012</v>
      </c>
      <c r="C4819">
        <v>60011.530194697363</v>
      </c>
    </row>
    <row r="4820" spans="1:3" x14ac:dyDescent="0.35">
      <c r="A4820" t="s">
        <v>91</v>
      </c>
      <c r="B4820">
        <v>2013</v>
      </c>
      <c r="C4820">
        <v>49023.93240685809</v>
      </c>
    </row>
    <row r="4821" spans="1:3" x14ac:dyDescent="0.35">
      <c r="A4821" t="s">
        <v>91</v>
      </c>
      <c r="B4821">
        <v>2014</v>
      </c>
      <c r="C4821">
        <v>46903.466612518736</v>
      </c>
    </row>
    <row r="4822" spans="1:3" x14ac:dyDescent="0.35">
      <c r="A4822" t="s">
        <v>91</v>
      </c>
      <c r="B4822">
        <v>2015</v>
      </c>
      <c r="C4822">
        <v>42106.103305792763</v>
      </c>
    </row>
    <row r="4823" spans="1:3" x14ac:dyDescent="0.35">
      <c r="A4823" t="s">
        <v>91</v>
      </c>
      <c r="B4823">
        <v>2016</v>
      </c>
      <c r="C4823">
        <v>46510.024990801321</v>
      </c>
    </row>
    <row r="4824" spans="1:3" x14ac:dyDescent="0.35">
      <c r="A4824" t="s">
        <v>91</v>
      </c>
      <c r="B4824">
        <v>2017</v>
      </c>
      <c r="C4824">
        <v>45029.861072900421</v>
      </c>
    </row>
    <row r="4825" spans="1:3" x14ac:dyDescent="0.35">
      <c r="A4825" t="s">
        <v>91</v>
      </c>
      <c r="B4825">
        <v>2018</v>
      </c>
      <c r="C4825">
        <v>48518.34580357746</v>
      </c>
    </row>
    <row r="4826" spans="1:3" x14ac:dyDescent="0.35">
      <c r="A4826" t="s">
        <v>91</v>
      </c>
      <c r="B4826">
        <v>2019</v>
      </c>
      <c r="C4826">
        <v>50782.354521060639</v>
      </c>
    </row>
    <row r="4827" spans="1:3" x14ac:dyDescent="0.35">
      <c r="A4827" t="s">
        <v>91</v>
      </c>
      <c r="B4827">
        <v>2020</v>
      </c>
      <c r="C4827">
        <v>51388.072739201816</v>
      </c>
    </row>
    <row r="4828" spans="1:3" x14ac:dyDescent="0.35">
      <c r="A4828" t="s">
        <v>91</v>
      </c>
      <c r="B4828">
        <v>2021</v>
      </c>
      <c r="C4828">
        <v>53616.495862248652</v>
      </c>
    </row>
    <row r="4829" spans="1:3" x14ac:dyDescent="0.35">
      <c r="A4829" t="s">
        <v>91</v>
      </c>
      <c r="B4829">
        <v>2022</v>
      </c>
      <c r="C4829">
        <v>43144.132919706935</v>
      </c>
    </row>
    <row r="4830" spans="1:3" x14ac:dyDescent="0.35">
      <c r="A4830" t="s">
        <v>91</v>
      </c>
      <c r="B4830">
        <v>2023</v>
      </c>
      <c r="C4830">
        <v>48096.463028630758</v>
      </c>
    </row>
    <row r="4831" spans="1:3" x14ac:dyDescent="0.35">
      <c r="A4831" t="s">
        <v>91</v>
      </c>
      <c r="B4831">
        <v>2024</v>
      </c>
      <c r="C4831">
        <v>54245.069554999216</v>
      </c>
    </row>
    <row r="4832" spans="1:3" x14ac:dyDescent="0.35">
      <c r="A4832" t="s">
        <v>91</v>
      </c>
      <c r="B4832">
        <v>2025</v>
      </c>
      <c r="C4832">
        <v>62158.093812441941</v>
      </c>
    </row>
    <row r="4833" spans="1:3" x14ac:dyDescent="0.35">
      <c r="A4833" t="s">
        <v>92</v>
      </c>
      <c r="B4833">
        <v>2015</v>
      </c>
      <c r="C4833">
        <v>869.62962962962956</v>
      </c>
    </row>
    <row r="4834" spans="1:3" x14ac:dyDescent="0.35">
      <c r="A4834" t="s">
        <v>92</v>
      </c>
      <c r="B4834">
        <v>2016</v>
      </c>
      <c r="C4834">
        <v>912.59259259259261</v>
      </c>
    </row>
    <row r="4835" spans="1:3" x14ac:dyDescent="0.35">
      <c r="A4835" t="s">
        <v>92</v>
      </c>
      <c r="B4835">
        <v>2017</v>
      </c>
      <c r="C4835">
        <v>961.48148148148152</v>
      </c>
    </row>
    <row r="4836" spans="1:3" x14ac:dyDescent="0.35">
      <c r="A4836" t="s">
        <v>92</v>
      </c>
      <c r="B4836">
        <v>2018</v>
      </c>
      <c r="C4836">
        <v>1604.4444444444443</v>
      </c>
    </row>
    <row r="4837" spans="1:3" x14ac:dyDescent="0.35">
      <c r="A4837" t="s">
        <v>93</v>
      </c>
      <c r="B4837">
        <v>1950</v>
      </c>
      <c r="C4837">
        <v>108.4</v>
      </c>
    </row>
    <row r="4838" spans="1:3" x14ac:dyDescent="0.35">
      <c r="A4838" t="s">
        <v>93</v>
      </c>
      <c r="B4838">
        <v>1952</v>
      </c>
      <c r="C4838">
        <v>64.833333333333343</v>
      </c>
    </row>
    <row r="4839" spans="1:3" x14ac:dyDescent="0.35">
      <c r="A4839" t="s">
        <v>93</v>
      </c>
      <c r="B4839">
        <v>1953</v>
      </c>
      <c r="C4839">
        <v>62.222222222222221</v>
      </c>
    </row>
    <row r="4840" spans="1:3" x14ac:dyDescent="0.35">
      <c r="A4840" t="s">
        <v>93</v>
      </c>
      <c r="B4840">
        <v>1954</v>
      </c>
      <c r="C4840">
        <v>213.33333333333334</v>
      </c>
    </row>
    <row r="4841" spans="1:3" x14ac:dyDescent="0.35">
      <c r="A4841" t="s">
        <v>93</v>
      </c>
      <c r="B4841">
        <v>1955</v>
      </c>
      <c r="C4841">
        <v>141.19999999999999</v>
      </c>
    </row>
    <row r="4842" spans="1:3" x14ac:dyDescent="0.35">
      <c r="A4842" t="s">
        <v>93</v>
      </c>
      <c r="B4842">
        <v>1956</v>
      </c>
      <c r="C4842">
        <v>250</v>
      </c>
    </row>
    <row r="4843" spans="1:3" x14ac:dyDescent="0.35">
      <c r="A4843" t="s">
        <v>93</v>
      </c>
      <c r="B4843">
        <v>1957</v>
      </c>
      <c r="C4843">
        <v>266</v>
      </c>
    </row>
    <row r="4844" spans="1:3" x14ac:dyDescent="0.35">
      <c r="A4844" t="s">
        <v>93</v>
      </c>
      <c r="B4844">
        <v>1958</v>
      </c>
      <c r="C4844">
        <v>302</v>
      </c>
    </row>
    <row r="4845" spans="1:3" x14ac:dyDescent="0.35">
      <c r="A4845" t="s">
        <v>93</v>
      </c>
      <c r="B4845">
        <v>1959</v>
      </c>
      <c r="C4845">
        <v>330</v>
      </c>
    </row>
    <row r="4846" spans="1:3" x14ac:dyDescent="0.35">
      <c r="A4846" t="s">
        <v>93</v>
      </c>
      <c r="B4846">
        <v>1960</v>
      </c>
      <c r="C4846">
        <v>275.64356435643566</v>
      </c>
    </row>
    <row r="4847" spans="1:3" x14ac:dyDescent="0.35">
      <c r="A4847" t="s">
        <v>93</v>
      </c>
      <c r="B4847">
        <v>1961</v>
      </c>
      <c r="C4847">
        <v>157.061350086544</v>
      </c>
    </row>
    <row r="4848" spans="1:3" x14ac:dyDescent="0.35">
      <c r="A4848" t="s">
        <v>93</v>
      </c>
      <c r="B4848">
        <v>1962</v>
      </c>
      <c r="C4848">
        <v>186.15384615384613</v>
      </c>
    </row>
    <row r="4849" spans="1:3" x14ac:dyDescent="0.35">
      <c r="A4849" t="s">
        <v>93</v>
      </c>
      <c r="B4849">
        <v>1963</v>
      </c>
      <c r="C4849">
        <v>185.38461538461539</v>
      </c>
    </row>
    <row r="4850" spans="1:3" x14ac:dyDescent="0.35">
      <c r="A4850" t="s">
        <v>93</v>
      </c>
      <c r="B4850">
        <v>1964</v>
      </c>
      <c r="C4850">
        <v>137.48147039705955</v>
      </c>
    </row>
    <row r="4851" spans="1:3" x14ac:dyDescent="0.35">
      <c r="A4851" t="s">
        <v>93</v>
      </c>
      <c r="B4851">
        <v>1965</v>
      </c>
      <c r="C4851">
        <v>132.13163614250698</v>
      </c>
    </row>
    <row r="4852" spans="1:3" x14ac:dyDescent="0.35">
      <c r="A4852" t="s">
        <v>93</v>
      </c>
      <c r="B4852">
        <v>1966</v>
      </c>
      <c r="C4852">
        <v>176.90178633949665</v>
      </c>
    </row>
    <row r="4853" spans="1:3" x14ac:dyDescent="0.35">
      <c r="A4853" t="s">
        <v>93</v>
      </c>
      <c r="B4853">
        <v>1967</v>
      </c>
      <c r="C4853">
        <v>218.1008956923225</v>
      </c>
    </row>
    <row r="4854" spans="1:3" x14ac:dyDescent="0.35">
      <c r="A4854" t="s">
        <v>93</v>
      </c>
      <c r="B4854">
        <v>1968</v>
      </c>
      <c r="C4854">
        <v>278.69652442661175</v>
      </c>
    </row>
    <row r="4855" spans="1:3" x14ac:dyDescent="0.35">
      <c r="A4855" t="s">
        <v>93</v>
      </c>
      <c r="B4855">
        <v>1969</v>
      </c>
      <c r="C4855">
        <v>347.02822380544211</v>
      </c>
    </row>
    <row r="4856" spans="1:3" x14ac:dyDescent="0.35">
      <c r="A4856" t="s">
        <v>93</v>
      </c>
      <c r="B4856">
        <v>1970</v>
      </c>
      <c r="C4856">
        <v>386.40374038820698</v>
      </c>
    </row>
    <row r="4857" spans="1:3" x14ac:dyDescent="0.35">
      <c r="A4857" t="s">
        <v>93</v>
      </c>
      <c r="B4857">
        <v>1971</v>
      </c>
      <c r="C4857">
        <v>460.89984934336172</v>
      </c>
    </row>
    <row r="4858" spans="1:3" x14ac:dyDescent="0.35">
      <c r="A4858" t="s">
        <v>93</v>
      </c>
      <c r="B4858">
        <v>1972</v>
      </c>
      <c r="C4858">
        <v>531.95009340941829</v>
      </c>
    </row>
    <row r="4859" spans="1:3" x14ac:dyDescent="0.35">
      <c r="A4859" t="s">
        <v>93</v>
      </c>
      <c r="B4859">
        <v>1973</v>
      </c>
      <c r="C4859">
        <v>544.78537464664271</v>
      </c>
    </row>
    <row r="4860" spans="1:3" x14ac:dyDescent="0.35">
      <c r="A4860" t="s">
        <v>93</v>
      </c>
      <c r="B4860">
        <v>1974</v>
      </c>
      <c r="C4860">
        <v>852.9638640004747</v>
      </c>
    </row>
    <row r="4861" spans="1:3" x14ac:dyDescent="0.35">
      <c r="A4861" t="s">
        <v>93</v>
      </c>
      <c r="B4861">
        <v>1975</v>
      </c>
      <c r="C4861">
        <v>1030.9917355371902</v>
      </c>
    </row>
    <row r="4862" spans="1:3" x14ac:dyDescent="0.35">
      <c r="A4862" t="s">
        <v>93</v>
      </c>
      <c r="B4862">
        <v>1976</v>
      </c>
      <c r="C4862">
        <v>1708.6776859504132</v>
      </c>
    </row>
    <row r="4863" spans="1:3" x14ac:dyDescent="0.35">
      <c r="A4863" t="s">
        <v>93</v>
      </c>
      <c r="B4863">
        <v>1977</v>
      </c>
      <c r="C4863">
        <v>2237.6033057851237</v>
      </c>
    </row>
    <row r="4864" spans="1:3" x14ac:dyDescent="0.35">
      <c r="A4864" t="s">
        <v>93</v>
      </c>
      <c r="B4864">
        <v>1978</v>
      </c>
      <c r="C4864">
        <v>3190.0826446280989</v>
      </c>
    </row>
    <row r="4865" spans="1:3" x14ac:dyDescent="0.35">
      <c r="A4865" t="s">
        <v>93</v>
      </c>
      <c r="B4865">
        <v>1979</v>
      </c>
      <c r="C4865">
        <v>3543.3884297520663</v>
      </c>
    </row>
    <row r="4866" spans="1:3" x14ac:dyDescent="0.35">
      <c r="A4866" t="s">
        <v>93</v>
      </c>
      <c r="B4866">
        <v>1980</v>
      </c>
      <c r="C4866">
        <v>3980.6924890358096</v>
      </c>
    </row>
    <row r="4867" spans="1:3" x14ac:dyDescent="0.35">
      <c r="A4867" t="s">
        <v>93</v>
      </c>
      <c r="B4867">
        <v>1981</v>
      </c>
      <c r="C4867">
        <v>4463.8399595905012</v>
      </c>
    </row>
    <row r="4868" spans="1:3" x14ac:dyDescent="0.35">
      <c r="A4868" t="s">
        <v>93</v>
      </c>
      <c r="B4868">
        <v>1982</v>
      </c>
      <c r="C4868">
        <v>4646.5248863331708</v>
      </c>
    </row>
    <row r="4869" spans="1:3" x14ac:dyDescent="0.35">
      <c r="A4869" t="s">
        <v>93</v>
      </c>
      <c r="B4869">
        <v>1983</v>
      </c>
      <c r="C4869">
        <v>4714.1597529094497</v>
      </c>
    </row>
    <row r="4870" spans="1:3" x14ac:dyDescent="0.35">
      <c r="A4870" t="s">
        <v>93</v>
      </c>
      <c r="B4870">
        <v>1984</v>
      </c>
      <c r="C4870">
        <v>4759.4469314222752</v>
      </c>
    </row>
    <row r="4871" spans="1:3" x14ac:dyDescent="0.35">
      <c r="A4871" t="s">
        <v>93</v>
      </c>
      <c r="B4871">
        <v>1985</v>
      </c>
      <c r="C4871">
        <v>4883.7957748097742</v>
      </c>
    </row>
    <row r="4872" spans="1:3" x14ac:dyDescent="0.35">
      <c r="A4872" t="s">
        <v>93</v>
      </c>
      <c r="B4872">
        <v>1986</v>
      </c>
      <c r="C4872">
        <v>5325.2920742318947</v>
      </c>
    </row>
    <row r="4873" spans="1:3" x14ac:dyDescent="0.35">
      <c r="A4873" t="s">
        <v>93</v>
      </c>
      <c r="B4873">
        <v>1987</v>
      </c>
      <c r="C4873">
        <v>6040.84530500251</v>
      </c>
    </row>
    <row r="4874" spans="1:3" x14ac:dyDescent="0.35">
      <c r="A4874" t="s">
        <v>93</v>
      </c>
      <c r="B4874">
        <v>1988</v>
      </c>
      <c r="C4874">
        <v>7732.3956755456156</v>
      </c>
    </row>
    <row r="4875" spans="1:3" x14ac:dyDescent="0.35">
      <c r="A4875" t="s">
        <v>93</v>
      </c>
      <c r="B4875">
        <v>1989</v>
      </c>
      <c r="C4875">
        <v>9468.9748844302521</v>
      </c>
    </row>
    <row r="4876" spans="1:3" x14ac:dyDescent="0.35">
      <c r="A4876" t="s">
        <v>93</v>
      </c>
      <c r="B4876">
        <v>1990</v>
      </c>
      <c r="C4876">
        <v>10110.714871058713</v>
      </c>
    </row>
    <row r="4877" spans="1:3" x14ac:dyDescent="0.35">
      <c r="A4877" t="s">
        <v>93</v>
      </c>
      <c r="B4877">
        <v>1991</v>
      </c>
      <c r="C4877">
        <v>10956.524347756129</v>
      </c>
    </row>
    <row r="4878" spans="1:3" x14ac:dyDescent="0.35">
      <c r="A4878" t="s">
        <v>93</v>
      </c>
      <c r="B4878">
        <v>1992</v>
      </c>
      <c r="C4878">
        <v>11614.665196099153</v>
      </c>
    </row>
    <row r="4879" spans="1:3" x14ac:dyDescent="0.35">
      <c r="A4879" t="s">
        <v>93</v>
      </c>
      <c r="B4879">
        <v>1993</v>
      </c>
      <c r="C4879">
        <v>12377.424872706251</v>
      </c>
    </row>
    <row r="4880" spans="1:3" x14ac:dyDescent="0.35">
      <c r="A4880" t="s">
        <v>93</v>
      </c>
      <c r="B4880">
        <v>1994</v>
      </c>
      <c r="C4880">
        <v>13519.265762727053</v>
      </c>
    </row>
    <row r="4881" spans="1:3" x14ac:dyDescent="0.35">
      <c r="A4881" t="s">
        <v>93</v>
      </c>
      <c r="B4881">
        <v>1995</v>
      </c>
      <c r="C4881">
        <v>16085.095679480546</v>
      </c>
    </row>
    <row r="4882" spans="1:3" x14ac:dyDescent="0.35">
      <c r="A4882" t="s">
        <v>93</v>
      </c>
      <c r="B4882">
        <v>1996</v>
      </c>
      <c r="C4882">
        <v>16408.665266957796</v>
      </c>
    </row>
    <row r="4883" spans="1:3" x14ac:dyDescent="0.35">
      <c r="A4883" t="s">
        <v>93</v>
      </c>
      <c r="B4883">
        <v>1997</v>
      </c>
      <c r="C4883">
        <v>14848.484529937799</v>
      </c>
    </row>
    <row r="4884" spans="1:3" x14ac:dyDescent="0.35">
      <c r="A4884" t="s">
        <v>93</v>
      </c>
      <c r="B4884">
        <v>1998</v>
      </c>
      <c r="C4884">
        <v>10457.957529398333</v>
      </c>
    </row>
    <row r="4885" spans="1:3" x14ac:dyDescent="0.35">
      <c r="A4885" t="s">
        <v>93</v>
      </c>
      <c r="B4885">
        <v>1999</v>
      </c>
      <c r="C4885">
        <v>12095.186823909424</v>
      </c>
    </row>
    <row r="4886" spans="1:3" x14ac:dyDescent="0.35">
      <c r="A4886" t="s">
        <v>93</v>
      </c>
      <c r="B4886">
        <v>2000</v>
      </c>
      <c r="C4886">
        <v>13801.1070241211</v>
      </c>
    </row>
    <row r="4887" spans="1:3" x14ac:dyDescent="0.35">
      <c r="A4887" t="s">
        <v>93</v>
      </c>
      <c r="B4887">
        <v>2001</v>
      </c>
      <c r="C4887">
        <v>12941.850827659393</v>
      </c>
    </row>
    <row r="4888" spans="1:3" x14ac:dyDescent="0.35">
      <c r="A4888" t="s">
        <v>93</v>
      </c>
      <c r="B4888">
        <v>2002</v>
      </c>
      <c r="C4888">
        <v>14101.703314709574</v>
      </c>
    </row>
    <row r="4889" spans="1:3" x14ac:dyDescent="0.35">
      <c r="A4889" t="s">
        <v>93</v>
      </c>
      <c r="B4889">
        <v>2003</v>
      </c>
      <c r="C4889">
        <v>15847.047272177979</v>
      </c>
    </row>
    <row r="4890" spans="1:3" x14ac:dyDescent="0.35">
      <c r="A4890" t="s">
        <v>93</v>
      </c>
      <c r="B4890">
        <v>2004</v>
      </c>
      <c r="C4890">
        <v>17829.864142772327</v>
      </c>
    </row>
    <row r="4891" spans="1:3" x14ac:dyDescent="0.35">
      <c r="A4891" t="s">
        <v>93</v>
      </c>
      <c r="B4891">
        <v>2005</v>
      </c>
      <c r="C4891">
        <v>22159.512557122216</v>
      </c>
    </row>
    <row r="4892" spans="1:3" x14ac:dyDescent="0.35">
      <c r="A4892" t="s">
        <v>93</v>
      </c>
      <c r="B4892">
        <v>2006</v>
      </c>
      <c r="C4892">
        <v>25177.237741034423</v>
      </c>
    </row>
    <row r="4893" spans="1:3" x14ac:dyDescent="0.35">
      <c r="A4893" t="s">
        <v>93</v>
      </c>
      <c r="B4893">
        <v>2007</v>
      </c>
      <c r="C4893">
        <v>27726.129585249291</v>
      </c>
    </row>
    <row r="4894" spans="1:3" x14ac:dyDescent="0.35">
      <c r="A4894" t="s">
        <v>93</v>
      </c>
      <c r="B4894">
        <v>2008</v>
      </c>
      <c r="C4894">
        <v>26072.410507690216</v>
      </c>
    </row>
    <row r="4895" spans="1:3" x14ac:dyDescent="0.35">
      <c r="A4895" t="s">
        <v>93</v>
      </c>
      <c r="B4895">
        <v>2009</v>
      </c>
      <c r="C4895">
        <v>24575.661939182253</v>
      </c>
    </row>
    <row r="4896" spans="1:3" x14ac:dyDescent="0.35">
      <c r="A4896" t="s">
        <v>93</v>
      </c>
      <c r="B4896">
        <v>2010</v>
      </c>
      <c r="C4896">
        <v>28175.181218967875</v>
      </c>
    </row>
    <row r="4897" spans="1:3" x14ac:dyDescent="0.35">
      <c r="A4897" t="s">
        <v>93</v>
      </c>
      <c r="B4897">
        <v>2011</v>
      </c>
      <c r="C4897">
        <v>30991.707946476108</v>
      </c>
    </row>
    <row r="4898" spans="1:3" x14ac:dyDescent="0.35">
      <c r="A4898" t="s">
        <v>93</v>
      </c>
      <c r="B4898">
        <v>2012</v>
      </c>
      <c r="C4898">
        <v>31951.760810318963</v>
      </c>
    </row>
    <row r="4899" spans="1:3" x14ac:dyDescent="0.35">
      <c r="A4899" t="s">
        <v>93</v>
      </c>
      <c r="B4899">
        <v>2013</v>
      </c>
      <c r="C4899">
        <v>34311.220715166462</v>
      </c>
    </row>
    <row r="4900" spans="1:3" x14ac:dyDescent="0.35">
      <c r="A4900" t="s">
        <v>93</v>
      </c>
      <c r="B4900">
        <v>2014</v>
      </c>
      <c r="C4900">
        <v>37552.298953823192</v>
      </c>
    </row>
    <row r="4901" spans="1:3" x14ac:dyDescent="0.35">
      <c r="A4901" t="s">
        <v>93</v>
      </c>
      <c r="B4901">
        <v>2015</v>
      </c>
      <c r="C4901">
        <v>36570.769322574437</v>
      </c>
    </row>
    <row r="4902" spans="1:3" x14ac:dyDescent="0.35">
      <c r="A4902" t="s">
        <v>93</v>
      </c>
      <c r="B4902">
        <v>2016</v>
      </c>
      <c r="C4902">
        <v>36885.283430023352</v>
      </c>
    </row>
    <row r="4903" spans="1:3" x14ac:dyDescent="0.35">
      <c r="A4903" t="s">
        <v>93</v>
      </c>
      <c r="B4903">
        <v>2017</v>
      </c>
      <c r="C4903">
        <v>39170.682135621551</v>
      </c>
    </row>
    <row r="4904" spans="1:3" x14ac:dyDescent="0.35">
      <c r="A4904" t="s">
        <v>93</v>
      </c>
      <c r="B4904">
        <v>2018</v>
      </c>
      <c r="C4904">
        <v>43069.973342875237</v>
      </c>
    </row>
    <row r="4905" spans="1:3" x14ac:dyDescent="0.35">
      <c r="A4905" t="s">
        <v>93</v>
      </c>
      <c r="B4905">
        <v>2019</v>
      </c>
      <c r="C4905">
        <v>44102.240752178986</v>
      </c>
    </row>
    <row r="4906" spans="1:3" x14ac:dyDescent="0.35">
      <c r="A4906" t="s">
        <v>93</v>
      </c>
      <c r="B4906">
        <v>2020</v>
      </c>
      <c r="C4906">
        <v>46117.096574581883</v>
      </c>
    </row>
    <row r="4907" spans="1:3" x14ac:dyDescent="0.35">
      <c r="A4907" t="s">
        <v>93</v>
      </c>
      <c r="B4907">
        <v>2021</v>
      </c>
      <c r="C4907">
        <v>50873.788105291685</v>
      </c>
    </row>
    <row r="4908" spans="1:3" x14ac:dyDescent="0.35">
      <c r="A4908" t="s">
        <v>93</v>
      </c>
      <c r="B4908">
        <v>2022</v>
      </c>
      <c r="C4908">
        <v>46365.420707415724</v>
      </c>
    </row>
    <row r="4909" spans="1:3" x14ac:dyDescent="0.35">
      <c r="A4909" t="s">
        <v>93</v>
      </c>
      <c r="B4909">
        <v>2023</v>
      </c>
      <c r="C4909">
        <v>47801.863038878735</v>
      </c>
    </row>
    <row r="4910" spans="1:3" x14ac:dyDescent="0.35">
      <c r="A4910" t="s">
        <v>93</v>
      </c>
      <c r="B4910">
        <v>2024</v>
      </c>
      <c r="C4910">
        <v>47604.584211973961</v>
      </c>
    </row>
    <row r="4911" spans="1:3" x14ac:dyDescent="0.35">
      <c r="A4911" t="s">
        <v>93</v>
      </c>
      <c r="B4911">
        <v>2025</v>
      </c>
      <c r="C4911">
        <v>47770.908937463071</v>
      </c>
    </row>
    <row r="4912" spans="1:3" x14ac:dyDescent="0.35">
      <c r="A4912" t="s">
        <v>94</v>
      </c>
      <c r="B4912">
        <v>1991</v>
      </c>
      <c r="C4912">
        <v>110.83831460856474</v>
      </c>
    </row>
    <row r="4913" spans="1:3" x14ac:dyDescent="0.35">
      <c r="A4913" t="s">
        <v>94</v>
      </c>
      <c r="B4913">
        <v>1992</v>
      </c>
      <c r="C4913">
        <v>33.041891201759256</v>
      </c>
    </row>
    <row r="4914" spans="1:3" x14ac:dyDescent="0.35">
      <c r="A4914" t="s">
        <v>94</v>
      </c>
      <c r="B4914">
        <v>1993</v>
      </c>
      <c r="C4914">
        <v>14.057102955483016</v>
      </c>
    </row>
    <row r="4915" spans="1:3" x14ac:dyDescent="0.35">
      <c r="A4915" t="s">
        <v>94</v>
      </c>
      <c r="B4915">
        <v>1994</v>
      </c>
      <c r="C4915">
        <v>16.393641224943728</v>
      </c>
    </row>
    <row r="4916" spans="1:3" x14ac:dyDescent="0.35">
      <c r="A4916" t="s">
        <v>94</v>
      </c>
      <c r="B4916">
        <v>1995</v>
      </c>
      <c r="C4916">
        <v>21.28114878525589</v>
      </c>
    </row>
    <row r="4917" spans="1:3" x14ac:dyDescent="0.35">
      <c r="A4917" t="s">
        <v>94</v>
      </c>
      <c r="B4917">
        <v>1996</v>
      </c>
      <c r="C4917">
        <v>21.608196891701905</v>
      </c>
    </row>
    <row r="4918" spans="1:3" x14ac:dyDescent="0.35">
      <c r="A4918" t="s">
        <v>94</v>
      </c>
      <c r="B4918">
        <v>1997</v>
      </c>
      <c r="C4918">
        <v>18.692594355385879</v>
      </c>
    </row>
    <row r="4919" spans="1:3" x14ac:dyDescent="0.35">
      <c r="A4919" t="s">
        <v>94</v>
      </c>
      <c r="B4919">
        <v>1998</v>
      </c>
      <c r="C4919">
        <v>19.920839933969848</v>
      </c>
    </row>
    <row r="4920" spans="1:3" x14ac:dyDescent="0.35">
      <c r="A4920" t="s">
        <v>94</v>
      </c>
      <c r="B4920">
        <v>1999</v>
      </c>
      <c r="C4920">
        <v>18.021861880669753</v>
      </c>
    </row>
    <row r="4921" spans="1:3" x14ac:dyDescent="0.35">
      <c r="A4921" t="s">
        <v>94</v>
      </c>
      <c r="B4921">
        <v>2000</v>
      </c>
      <c r="C4921">
        <v>24.265559549351238</v>
      </c>
    </row>
    <row r="4922" spans="1:3" x14ac:dyDescent="0.35">
      <c r="A4922" t="s">
        <v>94</v>
      </c>
      <c r="B4922">
        <v>2001</v>
      </c>
      <c r="C4922">
        <v>23.124715313838024</v>
      </c>
    </row>
    <row r="4923" spans="1:3" x14ac:dyDescent="0.35">
      <c r="A4923" t="s">
        <v>94</v>
      </c>
      <c r="B4923">
        <v>2002</v>
      </c>
      <c r="C4923">
        <v>25.282128414586918</v>
      </c>
    </row>
    <row r="4924" spans="1:3" x14ac:dyDescent="0.35">
      <c r="A4924" t="s">
        <v>94</v>
      </c>
      <c r="B4924">
        <v>2003</v>
      </c>
      <c r="C4924">
        <v>24.333211226821568</v>
      </c>
    </row>
    <row r="4925" spans="1:3" x14ac:dyDescent="0.35">
      <c r="A4925" t="s">
        <v>94</v>
      </c>
      <c r="B4925">
        <v>2004</v>
      </c>
      <c r="C4925">
        <v>27.749093056610143</v>
      </c>
    </row>
    <row r="4926" spans="1:3" x14ac:dyDescent="0.35">
      <c r="A4926" t="s">
        <v>94</v>
      </c>
      <c r="B4926">
        <v>2005</v>
      </c>
      <c r="C4926">
        <v>29.797967226716448</v>
      </c>
    </row>
    <row r="4927" spans="1:3" x14ac:dyDescent="0.35">
      <c r="A4927" t="s">
        <v>94</v>
      </c>
      <c r="B4927">
        <v>2006</v>
      </c>
      <c r="C4927">
        <v>39.189624480800205</v>
      </c>
    </row>
    <row r="4928" spans="1:3" x14ac:dyDescent="0.35">
      <c r="A4928" t="s">
        <v>94</v>
      </c>
      <c r="B4928">
        <v>2007</v>
      </c>
      <c r="C4928">
        <v>56.561859193438139</v>
      </c>
    </row>
    <row r="4929" spans="1:3" x14ac:dyDescent="0.35">
      <c r="A4929" t="s">
        <v>94</v>
      </c>
      <c r="B4929">
        <v>2008</v>
      </c>
      <c r="C4929">
        <v>66.749871332990224</v>
      </c>
    </row>
    <row r="4930" spans="1:3" x14ac:dyDescent="0.35">
      <c r="A4930" t="s">
        <v>94</v>
      </c>
      <c r="B4930">
        <v>2009</v>
      </c>
      <c r="C4930">
        <v>37.633746000834606</v>
      </c>
    </row>
    <row r="4931" spans="1:3" x14ac:dyDescent="0.35">
      <c r="A4931" t="s">
        <v>94</v>
      </c>
      <c r="B4931">
        <v>2010</v>
      </c>
      <c r="C4931">
        <v>54.855717506963586</v>
      </c>
    </row>
    <row r="4932" spans="1:3" x14ac:dyDescent="0.35">
      <c r="A4932" t="s">
        <v>94</v>
      </c>
      <c r="B4932">
        <v>2011</v>
      </c>
      <c r="C4932">
        <v>87.157848157279219</v>
      </c>
    </row>
    <row r="4933" spans="1:3" x14ac:dyDescent="0.35">
      <c r="A4933" t="s">
        <v>94</v>
      </c>
      <c r="B4933">
        <v>2012</v>
      </c>
      <c r="C4933">
        <v>113.62276992884398</v>
      </c>
    </row>
    <row r="4934" spans="1:3" x14ac:dyDescent="0.35">
      <c r="A4934" t="s">
        <v>94</v>
      </c>
      <c r="B4934">
        <v>2013</v>
      </c>
      <c r="C4934">
        <v>103.46406987197575</v>
      </c>
    </row>
    <row r="4935" spans="1:3" x14ac:dyDescent="0.35">
      <c r="A4935" t="s">
        <v>94</v>
      </c>
      <c r="B4935">
        <v>2014</v>
      </c>
      <c r="C4935">
        <v>105.11443489488767</v>
      </c>
    </row>
    <row r="4936" spans="1:3" x14ac:dyDescent="0.35">
      <c r="A4936" t="s">
        <v>94</v>
      </c>
      <c r="B4936">
        <v>2015</v>
      </c>
      <c r="C4936">
        <v>101.73306981011001</v>
      </c>
    </row>
    <row r="4937" spans="1:3" x14ac:dyDescent="0.35">
      <c r="A4937" t="s">
        <v>94</v>
      </c>
      <c r="B4937">
        <v>2016</v>
      </c>
      <c r="C4937">
        <v>96.36678983712936</v>
      </c>
    </row>
    <row r="4938" spans="1:3" x14ac:dyDescent="0.35">
      <c r="A4938" t="s">
        <v>94</v>
      </c>
      <c r="B4938">
        <v>2017</v>
      </c>
      <c r="C4938">
        <v>87.511743496201461</v>
      </c>
    </row>
    <row r="4939" spans="1:3" x14ac:dyDescent="0.35">
      <c r="A4939" t="s">
        <v>94</v>
      </c>
      <c r="B4939">
        <v>2018</v>
      </c>
      <c r="C4939">
        <v>88.155189474041677</v>
      </c>
    </row>
    <row r="4940" spans="1:3" x14ac:dyDescent="0.35">
      <c r="A4940" t="s">
        <v>94</v>
      </c>
      <c r="B4940">
        <v>2019</v>
      </c>
      <c r="C4940">
        <v>93.98048033682214</v>
      </c>
    </row>
    <row r="4941" spans="1:3" x14ac:dyDescent="0.35">
      <c r="A4941" t="s">
        <v>94</v>
      </c>
      <c r="B4941">
        <v>2020</v>
      </c>
      <c r="C4941">
        <v>95.594594137791304</v>
      </c>
    </row>
    <row r="4942" spans="1:3" x14ac:dyDescent="0.35">
      <c r="A4942" t="s">
        <v>94</v>
      </c>
      <c r="B4942">
        <v>2021</v>
      </c>
      <c r="C4942">
        <v>97.194681713411981</v>
      </c>
    </row>
    <row r="4943" spans="1:3" x14ac:dyDescent="0.35">
      <c r="A4943" t="s">
        <v>94</v>
      </c>
      <c r="B4943">
        <v>2022</v>
      </c>
      <c r="C4943">
        <v>89.80131374453363</v>
      </c>
    </row>
    <row r="4944" spans="1:3" x14ac:dyDescent="0.35">
      <c r="A4944" t="s">
        <v>94</v>
      </c>
      <c r="B4944">
        <v>2023</v>
      </c>
      <c r="C4944">
        <v>111.46704198602069</v>
      </c>
    </row>
    <row r="4945" spans="1:3" x14ac:dyDescent="0.35">
      <c r="A4945" t="s">
        <v>94</v>
      </c>
      <c r="B4945">
        <v>2024</v>
      </c>
      <c r="C4945">
        <v>179.44687791700477</v>
      </c>
    </row>
    <row r="4946" spans="1:3" x14ac:dyDescent="0.35">
      <c r="A4946" t="s">
        <v>94</v>
      </c>
      <c r="B4946">
        <v>2025</v>
      </c>
      <c r="C4946">
        <v>221.31670329112353</v>
      </c>
    </row>
    <row r="4947" spans="1:3" x14ac:dyDescent="0.35">
      <c r="A4947" t="s">
        <v>95</v>
      </c>
      <c r="B4947">
        <v>1988</v>
      </c>
      <c r="C4947">
        <v>7110.0917431192656</v>
      </c>
    </row>
    <row r="4948" spans="1:3" x14ac:dyDescent="0.35">
      <c r="A4948" t="s">
        <v>95</v>
      </c>
      <c r="B4948">
        <v>1989</v>
      </c>
      <c r="C4948">
        <v>8142.201834862386</v>
      </c>
    </row>
    <row r="4949" spans="1:3" x14ac:dyDescent="0.35">
      <c r="A4949" t="s">
        <v>95</v>
      </c>
      <c r="B4949">
        <v>1990</v>
      </c>
      <c r="C4949">
        <v>8701.1489978804893</v>
      </c>
    </row>
    <row r="4950" spans="1:3" x14ac:dyDescent="0.35">
      <c r="A4950" t="s">
        <v>95</v>
      </c>
      <c r="B4950">
        <v>1991</v>
      </c>
      <c r="C4950">
        <v>9304.4937534961773</v>
      </c>
    </row>
    <row r="4951" spans="1:3" x14ac:dyDescent="0.35">
      <c r="A4951" t="s">
        <v>95</v>
      </c>
      <c r="B4951">
        <v>1992</v>
      </c>
      <c r="C4951">
        <v>10071.090047393363</v>
      </c>
    </row>
    <row r="4952" spans="1:3" x14ac:dyDescent="0.35">
      <c r="A4952" t="s">
        <v>95</v>
      </c>
      <c r="B4952">
        <v>1993</v>
      </c>
      <c r="C4952">
        <v>11653.465721756926</v>
      </c>
    </row>
    <row r="4953" spans="1:3" x14ac:dyDescent="0.35">
      <c r="A4953" t="s">
        <v>95</v>
      </c>
      <c r="B4953">
        <v>1994</v>
      </c>
      <c r="C4953">
        <v>11953.358279472352</v>
      </c>
    </row>
    <row r="4954" spans="1:3" x14ac:dyDescent="0.35">
      <c r="A4954" t="s">
        <v>95</v>
      </c>
      <c r="B4954">
        <v>1995</v>
      </c>
      <c r="C4954">
        <v>11470.210677338971</v>
      </c>
    </row>
    <row r="4955" spans="1:3" x14ac:dyDescent="0.35">
      <c r="A4955" t="s">
        <v>95</v>
      </c>
      <c r="B4955">
        <v>1996</v>
      </c>
      <c r="C4955">
        <v>11765.241459683883</v>
      </c>
    </row>
    <row r="4956" spans="1:3" x14ac:dyDescent="0.35">
      <c r="A4956" t="s">
        <v>95</v>
      </c>
      <c r="B4956">
        <v>1997</v>
      </c>
      <c r="C4956">
        <v>11325.099434791709</v>
      </c>
    </row>
    <row r="4957" spans="1:3" x14ac:dyDescent="0.35">
      <c r="A4957" t="s">
        <v>95</v>
      </c>
      <c r="B4957">
        <v>1998</v>
      </c>
      <c r="C4957">
        <v>9231.5742263417542</v>
      </c>
    </row>
    <row r="4958" spans="1:3" x14ac:dyDescent="0.35">
      <c r="A4958" t="s">
        <v>95</v>
      </c>
      <c r="B4958">
        <v>1999</v>
      </c>
      <c r="C4958">
        <v>9568.8960515713134</v>
      </c>
    </row>
    <row r="4959" spans="1:3" x14ac:dyDescent="0.35">
      <c r="A4959" t="s">
        <v>95</v>
      </c>
      <c r="B4959">
        <v>2000</v>
      </c>
      <c r="C4959">
        <v>8800.6405124099274</v>
      </c>
    </row>
    <row r="4960" spans="1:3" x14ac:dyDescent="0.35">
      <c r="A4960" t="s">
        <v>95</v>
      </c>
      <c r="B4960">
        <v>2001</v>
      </c>
      <c r="C4960">
        <v>7982.2485207100599</v>
      </c>
    </row>
    <row r="4961" spans="1:3" x14ac:dyDescent="0.35">
      <c r="A4961" t="s">
        <v>95</v>
      </c>
      <c r="B4961">
        <v>2002</v>
      </c>
      <c r="C4961">
        <v>7531.4533622559629</v>
      </c>
    </row>
    <row r="4962" spans="1:3" x14ac:dyDescent="0.35">
      <c r="A4962" t="s">
        <v>95</v>
      </c>
      <c r="B4962">
        <v>2003</v>
      </c>
      <c r="C4962">
        <v>7472.8339822186072</v>
      </c>
    </row>
    <row r="4963" spans="1:3" x14ac:dyDescent="0.35">
      <c r="A4963" t="s">
        <v>95</v>
      </c>
      <c r="B4963">
        <v>2004</v>
      </c>
      <c r="C4963">
        <v>7833.1637843336739</v>
      </c>
    </row>
    <row r="4964" spans="1:3" x14ac:dyDescent="0.35">
      <c r="A4964" t="s">
        <v>95</v>
      </c>
      <c r="B4964">
        <v>2005</v>
      </c>
      <c r="C4964">
        <v>8011.3159449124878</v>
      </c>
    </row>
    <row r="4965" spans="1:3" x14ac:dyDescent="0.35">
      <c r="A4965" t="s">
        <v>95</v>
      </c>
      <c r="B4965">
        <v>2006</v>
      </c>
      <c r="C4965">
        <v>7645.0155236543605</v>
      </c>
    </row>
    <row r="4966" spans="1:3" x14ac:dyDescent="0.35">
      <c r="A4966" t="s">
        <v>95</v>
      </c>
      <c r="B4966">
        <v>2007</v>
      </c>
      <c r="C4966">
        <v>8157.2376834541128</v>
      </c>
    </row>
    <row r="4967" spans="1:3" x14ac:dyDescent="0.35">
      <c r="A4967" t="s">
        <v>95</v>
      </c>
      <c r="B4967">
        <v>2008</v>
      </c>
      <c r="C4967">
        <v>8960.2436780150401</v>
      </c>
    </row>
    <row r="4968" spans="1:3" x14ac:dyDescent="0.35">
      <c r="A4968" t="s">
        <v>95</v>
      </c>
      <c r="B4968">
        <v>2009</v>
      </c>
      <c r="C4968">
        <v>9122.8176344216154</v>
      </c>
    </row>
    <row r="4969" spans="1:3" x14ac:dyDescent="0.35">
      <c r="A4969" t="s">
        <v>95</v>
      </c>
      <c r="B4969">
        <v>2010</v>
      </c>
      <c r="C4969">
        <v>9092.3456165855496</v>
      </c>
    </row>
    <row r="4970" spans="1:3" x14ac:dyDescent="0.35">
      <c r="A4970" t="s">
        <v>95</v>
      </c>
      <c r="B4970">
        <v>2011</v>
      </c>
      <c r="C4970">
        <v>9998.2351344013041</v>
      </c>
    </row>
    <row r="4971" spans="1:3" x14ac:dyDescent="0.35">
      <c r="A4971" t="s">
        <v>95</v>
      </c>
      <c r="B4971">
        <v>2012</v>
      </c>
      <c r="C4971">
        <v>10496.825825623016</v>
      </c>
    </row>
    <row r="4972" spans="1:3" x14ac:dyDescent="0.35">
      <c r="A4972" t="s">
        <v>95</v>
      </c>
      <c r="B4972">
        <v>2013</v>
      </c>
      <c r="C4972">
        <v>9964.3049568965507</v>
      </c>
    </row>
    <row r="4973" spans="1:3" x14ac:dyDescent="0.35">
      <c r="A4973" t="s">
        <v>95</v>
      </c>
      <c r="B4973">
        <v>2014</v>
      </c>
      <c r="C4973">
        <v>9802.4366150806709</v>
      </c>
    </row>
    <row r="4974" spans="1:3" x14ac:dyDescent="0.35">
      <c r="A4974" t="s">
        <v>95</v>
      </c>
      <c r="B4974">
        <v>2015</v>
      </c>
      <c r="C4974">
        <v>9803.3121697820006</v>
      </c>
    </row>
    <row r="4975" spans="1:3" x14ac:dyDescent="0.35">
      <c r="A4975" t="s">
        <v>95</v>
      </c>
      <c r="B4975">
        <v>2016</v>
      </c>
      <c r="C4975">
        <v>9663.6689760882327</v>
      </c>
    </row>
    <row r="4976" spans="1:3" x14ac:dyDescent="0.35">
      <c r="A4976" t="s">
        <v>95</v>
      </c>
      <c r="B4976">
        <v>2017</v>
      </c>
      <c r="C4976">
        <v>10479.976346134894</v>
      </c>
    </row>
    <row r="4977" spans="1:3" x14ac:dyDescent="0.35">
      <c r="A4977" t="s">
        <v>95</v>
      </c>
      <c r="B4977">
        <v>2018</v>
      </c>
      <c r="C4977">
        <v>10504.77580996834</v>
      </c>
    </row>
    <row r="4978" spans="1:3" x14ac:dyDescent="0.35">
      <c r="A4978" t="s">
        <v>95</v>
      </c>
      <c r="B4978">
        <v>2019</v>
      </c>
      <c r="C4978">
        <v>10993.171742014822</v>
      </c>
    </row>
    <row r="4979" spans="1:3" x14ac:dyDescent="0.35">
      <c r="A4979" t="s">
        <v>95</v>
      </c>
      <c r="B4979">
        <v>2020</v>
      </c>
      <c r="C4979">
        <v>12029.571535275345</v>
      </c>
    </row>
    <row r="4980" spans="1:3" x14ac:dyDescent="0.35">
      <c r="A4980" t="s">
        <v>95</v>
      </c>
      <c r="B4980">
        <v>2021</v>
      </c>
      <c r="C4980">
        <v>13932.664756446991</v>
      </c>
    </row>
    <row r="4981" spans="1:3" x14ac:dyDescent="0.35">
      <c r="A4981" t="s">
        <v>95</v>
      </c>
      <c r="B4981">
        <v>2022</v>
      </c>
      <c r="C4981">
        <v>15261.446437325107</v>
      </c>
    </row>
    <row r="4982" spans="1:3" x14ac:dyDescent="0.35">
      <c r="A4982" t="s">
        <v>95</v>
      </c>
      <c r="B4982">
        <v>2023</v>
      </c>
      <c r="C4982">
        <v>16344.564791689405</v>
      </c>
    </row>
    <row r="4983" spans="1:3" x14ac:dyDescent="0.35">
      <c r="A4983" t="s">
        <v>95</v>
      </c>
      <c r="B4983">
        <v>2024</v>
      </c>
      <c r="C4983">
        <v>15232.751881853545</v>
      </c>
    </row>
    <row r="4984" spans="1:3" x14ac:dyDescent="0.35">
      <c r="A4984" t="s">
        <v>95</v>
      </c>
      <c r="B4984">
        <v>2025</v>
      </c>
      <c r="C4984">
        <v>18187.723316285766</v>
      </c>
    </row>
    <row r="4985" spans="1:3" x14ac:dyDescent="0.35">
      <c r="A4985" t="s">
        <v>96</v>
      </c>
      <c r="B4985">
        <v>1984</v>
      </c>
      <c r="C4985">
        <v>97.366249742156882</v>
      </c>
    </row>
    <row r="4986" spans="1:3" x14ac:dyDescent="0.35">
      <c r="A4986" t="s">
        <v>96</v>
      </c>
      <c r="B4986">
        <v>1985</v>
      </c>
      <c r="C4986">
        <v>101.75215326227757</v>
      </c>
    </row>
    <row r="4987" spans="1:3" x14ac:dyDescent="0.35">
      <c r="A4987" t="s">
        <v>96</v>
      </c>
      <c r="B4987">
        <v>1986</v>
      </c>
      <c r="C4987">
        <v>110.16248587778196</v>
      </c>
    </row>
    <row r="4988" spans="1:3" x14ac:dyDescent="0.35">
      <c r="A4988" t="s">
        <v>96</v>
      </c>
      <c r="B4988">
        <v>1987</v>
      </c>
      <c r="C4988">
        <v>104.46442986163211</v>
      </c>
    </row>
    <row r="4989" spans="1:3" x14ac:dyDescent="0.35">
      <c r="A4989" t="s">
        <v>96</v>
      </c>
      <c r="B4989">
        <v>1988</v>
      </c>
      <c r="C4989">
        <v>178.39218453404359</v>
      </c>
    </row>
    <row r="4990" spans="1:3" x14ac:dyDescent="0.35">
      <c r="A4990" t="s">
        <v>96</v>
      </c>
      <c r="B4990">
        <v>1989</v>
      </c>
      <c r="C4990">
        <v>186.12902894998615</v>
      </c>
    </row>
    <row r="4991" spans="1:3" x14ac:dyDescent="0.35">
      <c r="A4991" t="s">
        <v>96</v>
      </c>
      <c r="B4991">
        <v>1990</v>
      </c>
      <c r="C4991">
        <v>231.16858755441291</v>
      </c>
    </row>
    <row r="4992" spans="1:3" x14ac:dyDescent="0.35">
      <c r="A4992" t="s">
        <v>96</v>
      </c>
      <c r="B4992">
        <v>1991</v>
      </c>
      <c r="C4992">
        <v>245.43428554889871</v>
      </c>
    </row>
    <row r="4993" spans="1:3" x14ac:dyDescent="0.35">
      <c r="A4993" t="s">
        <v>96</v>
      </c>
      <c r="B4993">
        <v>1992</v>
      </c>
      <c r="C4993">
        <v>251.69278746692697</v>
      </c>
    </row>
    <row r="4994" spans="1:3" x14ac:dyDescent="0.35">
      <c r="A4994" t="s">
        <v>96</v>
      </c>
      <c r="B4994">
        <v>1993</v>
      </c>
      <c r="C4994">
        <v>233.94129187580066</v>
      </c>
    </row>
    <row r="4995" spans="1:3" x14ac:dyDescent="0.35">
      <c r="A4995" t="s">
        <v>96</v>
      </c>
      <c r="B4995">
        <v>1994</v>
      </c>
      <c r="C4995">
        <v>261.87608023883104</v>
      </c>
    </row>
    <row r="4996" spans="1:3" x14ac:dyDescent="0.35">
      <c r="A4996" t="s">
        <v>96</v>
      </c>
      <c r="B4996">
        <v>1995</v>
      </c>
      <c r="C4996">
        <v>285.73847521483299</v>
      </c>
    </row>
    <row r="4997" spans="1:3" x14ac:dyDescent="0.35">
      <c r="A4997" t="s">
        <v>96</v>
      </c>
      <c r="B4997">
        <v>1996</v>
      </c>
      <c r="C4997">
        <v>328.35947916371168</v>
      </c>
    </row>
    <row r="4998" spans="1:3" x14ac:dyDescent="0.35">
      <c r="A4998" t="s">
        <v>96</v>
      </c>
      <c r="B4998">
        <v>1997</v>
      </c>
      <c r="C4998">
        <v>369.07079020211341</v>
      </c>
    </row>
    <row r="4999" spans="1:3" x14ac:dyDescent="0.35">
      <c r="A4999" t="s">
        <v>96</v>
      </c>
      <c r="B4999">
        <v>1998</v>
      </c>
      <c r="C4999">
        <v>293.97705544933081</v>
      </c>
    </row>
    <row r="5000" spans="1:3" x14ac:dyDescent="0.35">
      <c r="A5000" t="s">
        <v>96</v>
      </c>
      <c r="B5000">
        <v>1999</v>
      </c>
      <c r="C5000">
        <v>258.41317789210365</v>
      </c>
    </row>
    <row r="5001" spans="1:3" x14ac:dyDescent="0.35">
      <c r="A5001" t="s">
        <v>96</v>
      </c>
      <c r="B5001">
        <v>2000</v>
      </c>
      <c r="C5001">
        <v>244.20520197684402</v>
      </c>
    </row>
    <row r="5002" spans="1:3" x14ac:dyDescent="0.35">
      <c r="A5002" t="s">
        <v>96</v>
      </c>
      <c r="B5002">
        <v>2001</v>
      </c>
      <c r="C5002">
        <v>217.66793918692653</v>
      </c>
    </row>
    <row r="5003" spans="1:3" x14ac:dyDescent="0.35">
      <c r="A5003" t="s">
        <v>96</v>
      </c>
      <c r="B5003">
        <v>2002</v>
      </c>
      <c r="C5003">
        <v>226.18243148906228</v>
      </c>
    </row>
    <row r="5004" spans="1:3" x14ac:dyDescent="0.35">
      <c r="A5004" t="s">
        <v>96</v>
      </c>
      <c r="B5004">
        <v>2003</v>
      </c>
      <c r="C5004">
        <v>243.3732450148664</v>
      </c>
    </row>
    <row r="5005" spans="1:3" x14ac:dyDescent="0.35">
      <c r="A5005" t="s">
        <v>96</v>
      </c>
      <c r="B5005">
        <v>2004</v>
      </c>
      <c r="C5005">
        <v>199.38114931104053</v>
      </c>
    </row>
    <row r="5006" spans="1:3" x14ac:dyDescent="0.35">
      <c r="A5006" t="s">
        <v>96</v>
      </c>
      <c r="B5006">
        <v>2005</v>
      </c>
      <c r="C5006">
        <v>248.58807978851235</v>
      </c>
    </row>
    <row r="5007" spans="1:3" x14ac:dyDescent="0.35">
      <c r="A5007" t="s">
        <v>96</v>
      </c>
      <c r="B5007">
        <v>2006</v>
      </c>
      <c r="C5007">
        <v>293.43646353206248</v>
      </c>
    </row>
    <row r="5008" spans="1:3" x14ac:dyDescent="0.35">
      <c r="A5008" t="s">
        <v>96</v>
      </c>
      <c r="B5008">
        <v>2007</v>
      </c>
      <c r="C5008">
        <v>323.13715081945458</v>
      </c>
    </row>
    <row r="5009" spans="1:3" x14ac:dyDescent="0.35">
      <c r="A5009" t="s">
        <v>96</v>
      </c>
      <c r="B5009">
        <v>2008</v>
      </c>
      <c r="C5009">
        <v>361.98903448421856</v>
      </c>
    </row>
    <row r="5010" spans="1:3" x14ac:dyDescent="0.35">
      <c r="A5010" t="s">
        <v>96</v>
      </c>
      <c r="B5010">
        <v>2009</v>
      </c>
      <c r="C5010">
        <v>349.75972280467766</v>
      </c>
    </row>
    <row r="5011" spans="1:3" x14ac:dyDescent="0.35">
      <c r="A5011" t="s">
        <v>96</v>
      </c>
      <c r="B5011">
        <v>2010</v>
      </c>
      <c r="C5011">
        <v>390.7195400107077</v>
      </c>
    </row>
    <row r="5012" spans="1:3" x14ac:dyDescent="0.35">
      <c r="A5012" t="s">
        <v>96</v>
      </c>
      <c r="B5012">
        <v>2011</v>
      </c>
      <c r="C5012">
        <v>415.37152896471133</v>
      </c>
    </row>
    <row r="5013" spans="1:3" x14ac:dyDescent="0.35">
      <c r="A5013" t="s">
        <v>96</v>
      </c>
      <c r="B5013">
        <v>2012</v>
      </c>
      <c r="C5013">
        <v>411.26147394703781</v>
      </c>
    </row>
    <row r="5014" spans="1:3" x14ac:dyDescent="0.35">
      <c r="A5014" t="s">
        <v>96</v>
      </c>
      <c r="B5014">
        <v>2013</v>
      </c>
      <c r="C5014">
        <v>412.09427975415014</v>
      </c>
    </row>
    <row r="5015" spans="1:3" x14ac:dyDescent="0.35">
      <c r="A5015" t="s">
        <v>96</v>
      </c>
      <c r="B5015">
        <v>2014</v>
      </c>
      <c r="C5015">
        <v>527.78518045165197</v>
      </c>
    </row>
    <row r="5016" spans="1:3" x14ac:dyDescent="0.35">
      <c r="A5016" t="s">
        <v>96</v>
      </c>
      <c r="B5016">
        <v>2015</v>
      </c>
      <c r="C5016">
        <v>424.0220391672654</v>
      </c>
    </row>
    <row r="5017" spans="1:3" x14ac:dyDescent="0.35">
      <c r="A5017" t="s">
        <v>96</v>
      </c>
      <c r="B5017">
        <v>2016</v>
      </c>
      <c r="C5017">
        <v>403.366488712977</v>
      </c>
    </row>
    <row r="5018" spans="1:3" x14ac:dyDescent="0.35">
      <c r="A5018" t="s">
        <v>96</v>
      </c>
      <c r="B5018">
        <v>2017</v>
      </c>
      <c r="C5018">
        <v>346.70680442154952</v>
      </c>
    </row>
    <row r="5019" spans="1:3" x14ac:dyDescent="0.35">
      <c r="A5019" t="s">
        <v>96</v>
      </c>
      <c r="B5019">
        <v>2018</v>
      </c>
      <c r="C5019">
        <v>357.70876750372571</v>
      </c>
    </row>
    <row r="5020" spans="1:3" x14ac:dyDescent="0.35">
      <c r="A5020" t="s">
        <v>96</v>
      </c>
      <c r="B5020">
        <v>2019</v>
      </c>
      <c r="C5020">
        <v>414.72873900293257</v>
      </c>
    </row>
    <row r="5021" spans="1:3" x14ac:dyDescent="0.35">
      <c r="A5021" t="s">
        <v>96</v>
      </c>
      <c r="B5021">
        <v>2020</v>
      </c>
      <c r="C5021">
        <v>436.54822335025381</v>
      </c>
    </row>
    <row r="5022" spans="1:3" x14ac:dyDescent="0.35">
      <c r="A5022" t="s">
        <v>96</v>
      </c>
      <c r="B5022">
        <v>2021</v>
      </c>
      <c r="C5022">
        <v>453.33779861576249</v>
      </c>
    </row>
    <row r="5023" spans="1:3" x14ac:dyDescent="0.35">
      <c r="A5023" t="s">
        <v>96</v>
      </c>
      <c r="B5023">
        <v>2022</v>
      </c>
      <c r="C5023">
        <v>435.85735115960216</v>
      </c>
    </row>
    <row r="5024" spans="1:3" x14ac:dyDescent="0.35">
      <c r="A5024" t="s">
        <v>96</v>
      </c>
      <c r="B5024">
        <v>2023</v>
      </c>
      <c r="C5024">
        <v>449.23249484519278</v>
      </c>
    </row>
    <row r="5025" spans="1:3" x14ac:dyDescent="0.35">
      <c r="A5025" t="s">
        <v>96</v>
      </c>
      <c r="B5025">
        <v>2024</v>
      </c>
      <c r="C5025">
        <v>560.26673374249879</v>
      </c>
    </row>
    <row r="5026" spans="1:3" x14ac:dyDescent="0.35">
      <c r="A5026" t="s">
        <v>97</v>
      </c>
      <c r="B5026">
        <v>1990</v>
      </c>
      <c r="C5026">
        <v>29.09090909090909</v>
      </c>
    </row>
    <row r="5027" spans="1:3" x14ac:dyDescent="0.35">
      <c r="A5027" t="s">
        <v>97</v>
      </c>
      <c r="B5027">
        <v>1991</v>
      </c>
      <c r="C5027">
        <v>43.294683663426298</v>
      </c>
    </row>
    <row r="5028" spans="1:3" x14ac:dyDescent="0.35">
      <c r="A5028" t="s">
        <v>97</v>
      </c>
      <c r="B5028">
        <v>1992</v>
      </c>
      <c r="C5028">
        <v>62.293735887192284</v>
      </c>
    </row>
    <row r="5029" spans="1:3" x14ac:dyDescent="0.35">
      <c r="A5029" t="s">
        <v>97</v>
      </c>
      <c r="B5029">
        <v>1993</v>
      </c>
      <c r="C5029">
        <v>44.626255113425067</v>
      </c>
    </row>
    <row r="5030" spans="1:3" x14ac:dyDescent="0.35">
      <c r="A5030" t="s">
        <v>97</v>
      </c>
      <c r="B5030">
        <v>1994</v>
      </c>
      <c r="C5030">
        <v>107.25861899616933</v>
      </c>
    </row>
    <row r="5031" spans="1:3" x14ac:dyDescent="0.35">
      <c r="A5031" t="s">
        <v>97</v>
      </c>
      <c r="B5031">
        <v>1995</v>
      </c>
      <c r="C5031">
        <v>123.10115348677795</v>
      </c>
    </row>
    <row r="5032" spans="1:3" x14ac:dyDescent="0.35">
      <c r="A5032" t="s">
        <v>97</v>
      </c>
      <c r="B5032">
        <v>1996</v>
      </c>
      <c r="C5032">
        <v>113.56361086552241</v>
      </c>
    </row>
    <row r="5033" spans="1:3" x14ac:dyDescent="0.35">
      <c r="A5033" t="s">
        <v>97</v>
      </c>
      <c r="B5033">
        <v>1997</v>
      </c>
      <c r="C5033">
        <v>103.41960118795079</v>
      </c>
    </row>
    <row r="5034" spans="1:3" x14ac:dyDescent="0.35">
      <c r="A5034" t="s">
        <v>97</v>
      </c>
      <c r="B5034">
        <v>1998</v>
      </c>
      <c r="C5034">
        <v>83.323986091303851</v>
      </c>
    </row>
    <row r="5035" spans="1:3" x14ac:dyDescent="0.35">
      <c r="A5035" t="s">
        <v>97</v>
      </c>
      <c r="B5035">
        <v>1999</v>
      </c>
      <c r="C5035">
        <v>88.172003477045976</v>
      </c>
    </row>
    <row r="5036" spans="1:3" x14ac:dyDescent="0.35">
      <c r="A5036" t="s">
        <v>97</v>
      </c>
      <c r="B5036">
        <v>2000</v>
      </c>
      <c r="C5036">
        <v>81.025841307036387</v>
      </c>
    </row>
    <row r="5037" spans="1:3" x14ac:dyDescent="0.35">
      <c r="A5037" t="s">
        <v>97</v>
      </c>
      <c r="B5037">
        <v>2001</v>
      </c>
      <c r="C5037">
        <v>70.846940885982548</v>
      </c>
    </row>
    <row r="5038" spans="1:3" x14ac:dyDescent="0.35">
      <c r="A5038" t="s">
        <v>97</v>
      </c>
      <c r="B5038">
        <v>2002</v>
      </c>
      <c r="C5038">
        <v>65.18271609987525</v>
      </c>
    </row>
    <row r="5039" spans="1:3" x14ac:dyDescent="0.35">
      <c r="A5039" t="s">
        <v>97</v>
      </c>
      <c r="B5039">
        <v>2003</v>
      </c>
      <c r="C5039">
        <v>67.52522443391311</v>
      </c>
    </row>
    <row r="5040" spans="1:3" x14ac:dyDescent="0.35">
      <c r="A5040" t="s">
        <v>97</v>
      </c>
      <c r="B5040">
        <v>2004</v>
      </c>
      <c r="C5040">
        <v>69.218798630563327</v>
      </c>
    </row>
    <row r="5041" spans="1:3" x14ac:dyDescent="0.35">
      <c r="A5041" t="s">
        <v>97</v>
      </c>
      <c r="B5041">
        <v>2005</v>
      </c>
      <c r="C5041">
        <v>70.959071472205252</v>
      </c>
    </row>
    <row r="5042" spans="1:3" x14ac:dyDescent="0.35">
      <c r="A5042" t="s">
        <v>97</v>
      </c>
      <c r="B5042">
        <v>2006</v>
      </c>
      <c r="C5042">
        <v>75.881313592883686</v>
      </c>
    </row>
    <row r="5043" spans="1:3" x14ac:dyDescent="0.35">
      <c r="A5043" t="s">
        <v>97</v>
      </c>
      <c r="B5043">
        <v>2007</v>
      </c>
      <c r="C5043">
        <v>79.015425882051289</v>
      </c>
    </row>
    <row r="5044" spans="1:3" x14ac:dyDescent="0.35">
      <c r="A5044" t="s">
        <v>97</v>
      </c>
      <c r="B5044">
        <v>2008</v>
      </c>
      <c r="C5044">
        <v>82.630723427976619</v>
      </c>
    </row>
    <row r="5045" spans="1:3" x14ac:dyDescent="0.35">
      <c r="A5045" t="s">
        <v>97</v>
      </c>
      <c r="B5045">
        <v>2009</v>
      </c>
      <c r="C5045">
        <v>136.58973795276049</v>
      </c>
    </row>
    <row r="5046" spans="1:3" x14ac:dyDescent="0.35">
      <c r="A5046" t="s">
        <v>97</v>
      </c>
      <c r="B5046">
        <v>2010</v>
      </c>
      <c r="C5046">
        <v>167.8579279890655</v>
      </c>
    </row>
    <row r="5047" spans="1:3" x14ac:dyDescent="0.35">
      <c r="A5047" t="s">
        <v>97</v>
      </c>
      <c r="B5047">
        <v>2011</v>
      </c>
      <c r="C5047">
        <v>192.15941850437355</v>
      </c>
    </row>
    <row r="5048" spans="1:3" x14ac:dyDescent="0.35">
      <c r="A5048" t="s">
        <v>97</v>
      </c>
      <c r="B5048">
        <v>2012</v>
      </c>
      <c r="C5048">
        <v>217.3057277460947</v>
      </c>
    </row>
    <row r="5049" spans="1:3" x14ac:dyDescent="0.35">
      <c r="A5049" t="s">
        <v>97</v>
      </c>
      <c r="B5049">
        <v>2013</v>
      </c>
      <c r="C5049">
        <v>243.47010987646658</v>
      </c>
    </row>
    <row r="5050" spans="1:3" x14ac:dyDescent="0.35">
      <c r="A5050" t="s">
        <v>97</v>
      </c>
      <c r="B5050">
        <v>2014</v>
      </c>
      <c r="C5050">
        <v>277.9740681114551</v>
      </c>
    </row>
    <row r="5051" spans="1:3" x14ac:dyDescent="0.35">
      <c r="A5051" t="s">
        <v>97</v>
      </c>
      <c r="B5051">
        <v>2015</v>
      </c>
      <c r="C5051">
        <v>325.19205949234839</v>
      </c>
    </row>
    <row r="5052" spans="1:3" x14ac:dyDescent="0.35">
      <c r="A5052" t="s">
        <v>97</v>
      </c>
      <c r="B5052">
        <v>2016</v>
      </c>
      <c r="C5052">
        <v>382.29659065365769</v>
      </c>
    </row>
    <row r="5053" spans="1:3" x14ac:dyDescent="0.35">
      <c r="A5053" t="s">
        <v>97</v>
      </c>
      <c r="B5053">
        <v>2017</v>
      </c>
      <c r="C5053">
        <v>458.48162644753057</v>
      </c>
    </row>
    <row r="5054" spans="1:3" x14ac:dyDescent="0.35">
      <c r="A5054" t="s">
        <v>97</v>
      </c>
      <c r="B5054">
        <v>2018</v>
      </c>
      <c r="C5054">
        <v>542.65303161101019</v>
      </c>
    </row>
    <row r="5055" spans="1:3" x14ac:dyDescent="0.35">
      <c r="A5055" t="s">
        <v>97</v>
      </c>
      <c r="B5055">
        <v>2019</v>
      </c>
      <c r="C5055">
        <v>595.01338708232026</v>
      </c>
    </row>
    <row r="5056" spans="1:3" x14ac:dyDescent="0.35">
      <c r="A5056" t="s">
        <v>97</v>
      </c>
      <c r="B5056">
        <v>2020</v>
      </c>
      <c r="C5056">
        <v>619.79828010885035</v>
      </c>
    </row>
    <row r="5057" spans="1:3" x14ac:dyDescent="0.35">
      <c r="A5057" t="s">
        <v>97</v>
      </c>
      <c r="B5057">
        <v>2021</v>
      </c>
      <c r="C5057">
        <v>626.02428324581035</v>
      </c>
    </row>
    <row r="5058" spans="1:3" x14ac:dyDescent="0.35">
      <c r="A5058" t="s">
        <v>97</v>
      </c>
      <c r="B5058">
        <v>2022</v>
      </c>
      <c r="C5058">
        <v>616.66910042258587</v>
      </c>
    </row>
    <row r="5059" spans="1:3" x14ac:dyDescent="0.35">
      <c r="A5059" t="s">
        <v>97</v>
      </c>
      <c r="B5059">
        <v>2023</v>
      </c>
      <c r="C5059">
        <v>667.91703638648835</v>
      </c>
    </row>
    <row r="5060" spans="1:3" x14ac:dyDescent="0.35">
      <c r="A5060" t="s">
        <v>97</v>
      </c>
      <c r="B5060">
        <v>2024</v>
      </c>
      <c r="C5060">
        <v>720.58294602042349</v>
      </c>
    </row>
    <row r="5061" spans="1:3" x14ac:dyDescent="0.35">
      <c r="A5061" t="s">
        <v>97</v>
      </c>
      <c r="B5061">
        <v>2025</v>
      </c>
      <c r="C5061">
        <v>738.95021771803579</v>
      </c>
    </row>
    <row r="5062" spans="1:3" x14ac:dyDescent="0.35">
      <c r="A5062" t="s">
        <v>98</v>
      </c>
      <c r="B5062">
        <v>1974</v>
      </c>
      <c r="C5062">
        <v>698.19277108433732</v>
      </c>
    </row>
    <row r="5063" spans="1:3" x14ac:dyDescent="0.35">
      <c r="A5063" t="s">
        <v>98</v>
      </c>
      <c r="B5063">
        <v>1975</v>
      </c>
      <c r="C5063">
        <v>1063.8554216867469</v>
      </c>
    </row>
    <row r="5064" spans="1:3" x14ac:dyDescent="0.35">
      <c r="A5064" t="s">
        <v>98</v>
      </c>
      <c r="B5064">
        <v>1976</v>
      </c>
      <c r="C5064">
        <v>1275.301204819277</v>
      </c>
    </row>
    <row r="5065" spans="1:3" x14ac:dyDescent="0.35">
      <c r="A5065" t="s">
        <v>98</v>
      </c>
      <c r="B5065">
        <v>1977</v>
      </c>
      <c r="C5065">
        <v>1468.6746987951808</v>
      </c>
    </row>
    <row r="5066" spans="1:3" x14ac:dyDescent="0.35">
      <c r="A5066" t="s">
        <v>98</v>
      </c>
      <c r="B5066">
        <v>1978</v>
      </c>
      <c r="C5066">
        <v>1627.6623420692463</v>
      </c>
    </row>
    <row r="5067" spans="1:3" x14ac:dyDescent="0.35">
      <c r="A5067" t="s">
        <v>98</v>
      </c>
      <c r="B5067">
        <v>1979</v>
      </c>
      <c r="C5067">
        <v>1552.4311657879321</v>
      </c>
    </row>
    <row r="5068" spans="1:3" x14ac:dyDescent="0.35">
      <c r="A5068" t="s">
        <v>98</v>
      </c>
      <c r="B5068">
        <v>1980</v>
      </c>
      <c r="C5068">
        <v>2114.4540458122406</v>
      </c>
    </row>
    <row r="5069" spans="1:3" x14ac:dyDescent="0.35">
      <c r="A5069" t="s">
        <v>98</v>
      </c>
      <c r="B5069">
        <v>1981</v>
      </c>
      <c r="C5069">
        <v>2654.1059299699095</v>
      </c>
    </row>
    <row r="5070" spans="1:3" x14ac:dyDescent="0.35">
      <c r="A5070" t="s">
        <v>98</v>
      </c>
      <c r="B5070">
        <v>1982</v>
      </c>
      <c r="C5070">
        <v>2741.0680942999993</v>
      </c>
    </row>
    <row r="5071" spans="1:3" x14ac:dyDescent="0.35">
      <c r="A5071" t="s">
        <v>98</v>
      </c>
      <c r="B5071">
        <v>1983</v>
      </c>
      <c r="C5071">
        <v>2047.2579501025552</v>
      </c>
    </row>
    <row r="5072" spans="1:3" x14ac:dyDescent="0.35">
      <c r="A5072" t="s">
        <v>98</v>
      </c>
      <c r="B5072">
        <v>1984</v>
      </c>
      <c r="C5072">
        <v>2002.3100766126672</v>
      </c>
    </row>
    <row r="5073" spans="1:3" x14ac:dyDescent="0.35">
      <c r="A5073" t="s">
        <v>98</v>
      </c>
      <c r="B5073">
        <v>1985</v>
      </c>
      <c r="C5073">
        <v>1923.3193466476978</v>
      </c>
    </row>
    <row r="5074" spans="1:3" x14ac:dyDescent="0.35">
      <c r="A5074" t="s">
        <v>98</v>
      </c>
      <c r="B5074">
        <v>1986</v>
      </c>
      <c r="C5074">
        <v>1734.6167040918165</v>
      </c>
    </row>
    <row r="5075" spans="1:3" x14ac:dyDescent="0.35">
      <c r="A5075" t="s">
        <v>98</v>
      </c>
      <c r="B5075">
        <v>1987</v>
      </c>
      <c r="C5075">
        <v>1347.5986251786965</v>
      </c>
    </row>
    <row r="5076" spans="1:3" x14ac:dyDescent="0.35">
      <c r="A5076" t="s">
        <v>98</v>
      </c>
      <c r="B5076">
        <v>1988</v>
      </c>
      <c r="C5076">
        <v>1356.70641276621</v>
      </c>
    </row>
    <row r="5077" spans="1:3" x14ac:dyDescent="0.35">
      <c r="A5077" t="s">
        <v>98</v>
      </c>
      <c r="B5077">
        <v>1989</v>
      </c>
      <c r="C5077">
        <v>1409.556738189666</v>
      </c>
    </row>
    <row r="5078" spans="1:3" x14ac:dyDescent="0.35">
      <c r="A5078" t="s">
        <v>98</v>
      </c>
      <c r="B5078">
        <v>1990</v>
      </c>
      <c r="C5078">
        <v>1613.9753962698271</v>
      </c>
    </row>
    <row r="5079" spans="1:3" x14ac:dyDescent="0.35">
      <c r="A5079" t="s">
        <v>98</v>
      </c>
      <c r="B5079">
        <v>1991</v>
      </c>
      <c r="C5079">
        <v>1697.0292054637189</v>
      </c>
    </row>
    <row r="5080" spans="1:3" x14ac:dyDescent="0.35">
      <c r="A5080" t="s">
        <v>98</v>
      </c>
      <c r="B5080">
        <v>1992</v>
      </c>
      <c r="C5080">
        <v>1887.6359659493969</v>
      </c>
    </row>
    <row r="5081" spans="1:3" x14ac:dyDescent="0.35">
      <c r="A5081" t="s">
        <v>98</v>
      </c>
      <c r="B5081">
        <v>1993</v>
      </c>
      <c r="C5081">
        <v>1933.3045853097601</v>
      </c>
    </row>
    <row r="5082" spans="1:3" x14ac:dyDescent="0.35">
      <c r="A5082" t="s">
        <v>98</v>
      </c>
      <c r="B5082">
        <v>1994</v>
      </c>
      <c r="C5082">
        <v>2239.7315746847157</v>
      </c>
    </row>
    <row r="5083" spans="1:3" x14ac:dyDescent="0.35">
      <c r="A5083" t="s">
        <v>98</v>
      </c>
      <c r="B5083">
        <v>1995</v>
      </c>
      <c r="C5083">
        <v>2478.7535410764872</v>
      </c>
    </row>
    <row r="5084" spans="1:3" x14ac:dyDescent="0.35">
      <c r="A5084" t="s">
        <v>98</v>
      </c>
      <c r="B5084">
        <v>1996</v>
      </c>
      <c r="C5084">
        <v>2874.845237586987</v>
      </c>
    </row>
    <row r="5085" spans="1:3" x14ac:dyDescent="0.35">
      <c r="A5085" t="s">
        <v>98</v>
      </c>
      <c r="B5085">
        <v>1997</v>
      </c>
      <c r="C5085">
        <v>3231.3585712419831</v>
      </c>
    </row>
    <row r="5086" spans="1:3" x14ac:dyDescent="0.35">
      <c r="A5086" t="s">
        <v>98</v>
      </c>
      <c r="B5086">
        <v>1998</v>
      </c>
      <c r="C5086">
        <v>972.7021251098505</v>
      </c>
    </row>
    <row r="5087" spans="1:3" x14ac:dyDescent="0.35">
      <c r="A5087" t="s">
        <v>98</v>
      </c>
      <c r="B5087">
        <v>1999</v>
      </c>
      <c r="C5087">
        <v>1135.1470054677507</v>
      </c>
    </row>
    <row r="5088" spans="1:3" x14ac:dyDescent="0.35">
      <c r="A5088" t="s">
        <v>98</v>
      </c>
      <c r="B5088">
        <v>2000</v>
      </c>
      <c r="C5088">
        <v>1129.5421689608188</v>
      </c>
    </row>
    <row r="5089" spans="1:3" x14ac:dyDescent="0.35">
      <c r="A5089" t="s">
        <v>98</v>
      </c>
      <c r="B5089">
        <v>2001</v>
      </c>
      <c r="C5089">
        <v>919.02717611114088</v>
      </c>
    </row>
    <row r="5090" spans="1:3" x14ac:dyDescent="0.35">
      <c r="A5090" t="s">
        <v>98</v>
      </c>
      <c r="B5090">
        <v>2002</v>
      </c>
      <c r="C5090">
        <v>1369.8568836964128</v>
      </c>
    </row>
    <row r="5091" spans="1:3" x14ac:dyDescent="0.35">
      <c r="A5091" t="s">
        <v>98</v>
      </c>
      <c r="B5091">
        <v>2003</v>
      </c>
      <c r="C5091">
        <v>2134.7458746900684</v>
      </c>
    </row>
    <row r="5092" spans="1:3" x14ac:dyDescent="0.35">
      <c r="A5092" t="s">
        <v>98</v>
      </c>
      <c r="B5092">
        <v>2004</v>
      </c>
      <c r="C5092">
        <v>2428.9477952980528</v>
      </c>
    </row>
    <row r="5093" spans="1:3" x14ac:dyDescent="0.35">
      <c r="A5093" t="s">
        <v>98</v>
      </c>
      <c r="B5093">
        <v>2005</v>
      </c>
      <c r="C5093">
        <v>2146.2704227916097</v>
      </c>
    </row>
    <row r="5094" spans="1:3" x14ac:dyDescent="0.35">
      <c r="A5094" t="s">
        <v>98</v>
      </c>
      <c r="B5094">
        <v>2006</v>
      </c>
      <c r="C5094">
        <v>2611.8760679017196</v>
      </c>
    </row>
    <row r="5095" spans="1:3" x14ac:dyDescent="0.35">
      <c r="A5095" t="s">
        <v>98</v>
      </c>
      <c r="B5095">
        <v>2007</v>
      </c>
      <c r="C5095">
        <v>3348.758341538125</v>
      </c>
    </row>
    <row r="5096" spans="1:3" x14ac:dyDescent="0.35">
      <c r="A5096" t="s">
        <v>98</v>
      </c>
      <c r="B5096">
        <v>2008</v>
      </c>
      <c r="C5096">
        <v>3232.2013823643506</v>
      </c>
    </row>
    <row r="5097" spans="1:3" x14ac:dyDescent="0.35">
      <c r="A5097" t="s">
        <v>98</v>
      </c>
      <c r="B5097">
        <v>2009</v>
      </c>
      <c r="C5097">
        <v>3304.4472115448243</v>
      </c>
    </row>
    <row r="5098" spans="1:3" x14ac:dyDescent="0.35">
      <c r="A5098" t="s">
        <v>98</v>
      </c>
      <c r="B5098">
        <v>2010</v>
      </c>
      <c r="C5098">
        <v>4663.3640493852527</v>
      </c>
    </row>
    <row r="5099" spans="1:3" x14ac:dyDescent="0.35">
      <c r="A5099" t="s">
        <v>98</v>
      </c>
      <c r="B5099">
        <v>2011</v>
      </c>
      <c r="C5099">
        <v>5838.0239668887525</v>
      </c>
    </row>
    <row r="5100" spans="1:3" x14ac:dyDescent="0.35">
      <c r="A5100" t="s">
        <v>98</v>
      </c>
      <c r="B5100">
        <v>2012</v>
      </c>
      <c r="C5100">
        <v>6531.0985351060135</v>
      </c>
    </row>
    <row r="5101" spans="1:3" x14ac:dyDescent="0.35">
      <c r="A5101" t="s">
        <v>98</v>
      </c>
      <c r="B5101">
        <v>2013</v>
      </c>
      <c r="C5101">
        <v>8383.9965434307978</v>
      </c>
    </row>
    <row r="5102" spans="1:3" x14ac:dyDescent="0.35">
      <c r="A5102" t="s">
        <v>98</v>
      </c>
      <c r="B5102">
        <v>2014</v>
      </c>
      <c r="C5102">
        <v>6929.2487042067132</v>
      </c>
    </row>
    <row r="5103" spans="1:3" x14ac:dyDescent="0.35">
      <c r="A5103" t="s">
        <v>98</v>
      </c>
      <c r="B5103">
        <v>2015</v>
      </c>
      <c r="C5103">
        <v>7595.0305276433273</v>
      </c>
    </row>
    <row r="5104" spans="1:3" x14ac:dyDescent="0.35">
      <c r="A5104" t="s">
        <v>98</v>
      </c>
      <c r="B5104">
        <v>2016</v>
      </c>
      <c r="C5104">
        <v>7382.5208428782771</v>
      </c>
    </row>
    <row r="5105" spans="1:3" x14ac:dyDescent="0.35">
      <c r="A5105" t="s">
        <v>98</v>
      </c>
      <c r="B5105">
        <v>2017</v>
      </c>
      <c r="C5105">
        <v>8787.0457898369423</v>
      </c>
    </row>
    <row r="5106" spans="1:3" x14ac:dyDescent="0.35">
      <c r="A5106" t="s">
        <v>98</v>
      </c>
      <c r="B5106">
        <v>2018</v>
      </c>
      <c r="C5106">
        <v>7493.1838717116989</v>
      </c>
    </row>
    <row r="5107" spans="1:3" x14ac:dyDescent="0.35">
      <c r="A5107" t="s">
        <v>98</v>
      </c>
      <c r="B5107">
        <v>2019</v>
      </c>
      <c r="C5107">
        <v>8153.3559170512963</v>
      </c>
    </row>
    <row r="5108" spans="1:3" x14ac:dyDescent="0.35">
      <c r="A5108" t="s">
        <v>98</v>
      </c>
      <c r="B5108">
        <v>2020</v>
      </c>
      <c r="C5108">
        <v>9386.1672073132449</v>
      </c>
    </row>
    <row r="5109" spans="1:3" x14ac:dyDescent="0.35">
      <c r="A5109" t="s">
        <v>98</v>
      </c>
      <c r="B5109">
        <v>2021</v>
      </c>
      <c r="C5109">
        <v>8798.2760635733866</v>
      </c>
    </row>
    <row r="5110" spans="1:3" x14ac:dyDescent="0.35">
      <c r="A5110" t="s">
        <v>98</v>
      </c>
      <c r="B5110">
        <v>2022</v>
      </c>
      <c r="C5110">
        <v>10130.672035309675</v>
      </c>
    </row>
    <row r="5111" spans="1:3" x14ac:dyDescent="0.35">
      <c r="A5111" t="s">
        <v>98</v>
      </c>
      <c r="B5111">
        <v>2023</v>
      </c>
      <c r="C5111">
        <v>11258.797569510034</v>
      </c>
    </row>
    <row r="5112" spans="1:3" x14ac:dyDescent="0.35">
      <c r="A5112" t="s">
        <v>98</v>
      </c>
      <c r="B5112">
        <v>2024</v>
      </c>
      <c r="C5112">
        <v>12012.394513002397</v>
      </c>
    </row>
    <row r="5113" spans="1:3" x14ac:dyDescent="0.35">
      <c r="A5113" t="s">
        <v>98</v>
      </c>
      <c r="B5113">
        <v>2025</v>
      </c>
      <c r="C5113">
        <v>15025.416115286091</v>
      </c>
    </row>
    <row r="5114" spans="1:3" x14ac:dyDescent="0.35">
      <c r="A5114" t="s">
        <v>99</v>
      </c>
      <c r="B5114">
        <v>1967</v>
      </c>
      <c r="C5114">
        <v>35.544791666666661</v>
      </c>
    </row>
    <row r="5115" spans="1:3" x14ac:dyDescent="0.35">
      <c r="A5115" t="s">
        <v>99</v>
      </c>
      <c r="B5115">
        <v>1968</v>
      </c>
      <c r="C5115">
        <v>35.461874999999999</v>
      </c>
    </row>
    <row r="5116" spans="1:3" x14ac:dyDescent="0.35">
      <c r="A5116" t="s">
        <v>99</v>
      </c>
      <c r="B5116">
        <v>1969</v>
      </c>
      <c r="C5116">
        <v>36.133958333333332</v>
      </c>
    </row>
    <row r="5117" spans="1:3" x14ac:dyDescent="0.35">
      <c r="A5117" t="s">
        <v>99</v>
      </c>
      <c r="B5117">
        <v>1970</v>
      </c>
      <c r="C5117">
        <v>38.045833333333334</v>
      </c>
    </row>
    <row r="5118" spans="1:3" x14ac:dyDescent="0.35">
      <c r="A5118" t="s">
        <v>99</v>
      </c>
      <c r="B5118">
        <v>1971</v>
      </c>
      <c r="C5118">
        <v>39.061458333333334</v>
      </c>
    </row>
    <row r="5119" spans="1:3" x14ac:dyDescent="0.35">
      <c r="A5119" t="s">
        <v>99</v>
      </c>
      <c r="B5119">
        <v>1972</v>
      </c>
      <c r="C5119">
        <v>20.254568128297787</v>
      </c>
    </row>
    <row r="5120" spans="1:3" x14ac:dyDescent="0.35">
      <c r="A5120" t="s">
        <v>99</v>
      </c>
      <c r="B5120">
        <v>1973</v>
      </c>
      <c r="C5120">
        <v>21.220297966170058</v>
      </c>
    </row>
    <row r="5121" spans="1:3" x14ac:dyDescent="0.35">
      <c r="A5121" t="s">
        <v>99</v>
      </c>
      <c r="B5121">
        <v>1992</v>
      </c>
      <c r="C5121">
        <v>102.29261133136801</v>
      </c>
    </row>
    <row r="5122" spans="1:3" x14ac:dyDescent="0.35">
      <c r="A5122" t="s">
        <v>99</v>
      </c>
      <c r="B5122">
        <v>1993</v>
      </c>
      <c r="C5122">
        <v>107.64397905759162</v>
      </c>
    </row>
    <row r="5123" spans="1:3" x14ac:dyDescent="0.35">
      <c r="A5123" t="s">
        <v>99</v>
      </c>
      <c r="B5123">
        <v>1994</v>
      </c>
      <c r="C5123">
        <v>116.10538035049682</v>
      </c>
    </row>
    <row r="5124" spans="1:3" x14ac:dyDescent="0.35">
      <c r="A5124" t="s">
        <v>99</v>
      </c>
      <c r="B5124">
        <v>1995</v>
      </c>
      <c r="C5124">
        <v>103.70453218009419</v>
      </c>
    </row>
    <row r="5125" spans="1:3" x14ac:dyDescent="0.35">
      <c r="A5125" t="s">
        <v>99</v>
      </c>
      <c r="B5125">
        <v>1996</v>
      </c>
      <c r="C5125">
        <v>78.445466014926893</v>
      </c>
    </row>
    <row r="5126" spans="1:3" x14ac:dyDescent="0.35">
      <c r="A5126" t="s">
        <v>99</v>
      </c>
      <c r="B5126">
        <v>1997</v>
      </c>
      <c r="C5126">
        <v>67.064556580263172</v>
      </c>
    </row>
    <row r="5127" spans="1:3" x14ac:dyDescent="0.35">
      <c r="A5127" t="s">
        <v>99</v>
      </c>
      <c r="B5127">
        <v>1998</v>
      </c>
      <c r="C5127">
        <v>33.350210561102131</v>
      </c>
    </row>
    <row r="5128" spans="1:3" x14ac:dyDescent="0.35">
      <c r="A5128" t="s">
        <v>99</v>
      </c>
      <c r="B5128">
        <v>1999</v>
      </c>
      <c r="C5128">
        <v>15.38294738679981</v>
      </c>
    </row>
    <row r="5129" spans="1:3" x14ac:dyDescent="0.35">
      <c r="A5129" t="s">
        <v>99</v>
      </c>
      <c r="B5129">
        <v>2000</v>
      </c>
      <c r="C5129">
        <v>13.717664599297127</v>
      </c>
    </row>
    <row r="5130" spans="1:3" x14ac:dyDescent="0.35">
      <c r="A5130" t="s">
        <v>99</v>
      </c>
      <c r="B5130">
        <v>2001</v>
      </c>
      <c r="C5130">
        <v>12.574570778305628</v>
      </c>
    </row>
    <row r="5131" spans="1:3" x14ac:dyDescent="0.35">
      <c r="A5131" t="s">
        <v>99</v>
      </c>
      <c r="B5131">
        <v>2002</v>
      </c>
      <c r="C5131">
        <v>11.435617473623502</v>
      </c>
    </row>
    <row r="5132" spans="1:3" x14ac:dyDescent="0.35">
      <c r="A5132" t="s">
        <v>99</v>
      </c>
      <c r="B5132">
        <v>2003</v>
      </c>
      <c r="C5132">
        <v>11.013340902639795</v>
      </c>
    </row>
    <row r="5133" spans="1:3" x14ac:dyDescent="0.35">
      <c r="A5133" t="s">
        <v>99</v>
      </c>
      <c r="B5133">
        <v>2004</v>
      </c>
      <c r="C5133">
        <v>11.496967521302928</v>
      </c>
    </row>
    <row r="5134" spans="1:3" x14ac:dyDescent="0.35">
      <c r="A5134" t="s">
        <v>99</v>
      </c>
      <c r="B5134">
        <v>2005</v>
      </c>
      <c r="C5134">
        <v>11.965988437570388</v>
      </c>
    </row>
    <row r="5135" spans="1:3" x14ac:dyDescent="0.35">
      <c r="A5135" t="s">
        <v>99</v>
      </c>
      <c r="B5135">
        <v>2006</v>
      </c>
      <c r="C5135">
        <v>13.418854094641816</v>
      </c>
    </row>
    <row r="5136" spans="1:3" x14ac:dyDescent="0.35">
      <c r="A5136" t="s">
        <v>99</v>
      </c>
      <c r="B5136">
        <v>2007</v>
      </c>
      <c r="C5136">
        <v>14.83953183493842</v>
      </c>
    </row>
    <row r="5137" spans="1:3" x14ac:dyDescent="0.35">
      <c r="A5137" t="s">
        <v>99</v>
      </c>
      <c r="B5137">
        <v>2008</v>
      </c>
      <c r="C5137">
        <v>16.275405902989601</v>
      </c>
    </row>
    <row r="5138" spans="1:3" x14ac:dyDescent="0.35">
      <c r="A5138" t="s">
        <v>99</v>
      </c>
      <c r="B5138">
        <v>2009</v>
      </c>
      <c r="C5138">
        <v>13.981328900693606</v>
      </c>
    </row>
    <row r="5139" spans="1:3" x14ac:dyDescent="0.35">
      <c r="A5139" t="s">
        <v>99</v>
      </c>
      <c r="B5139">
        <v>2010</v>
      </c>
      <c r="C5139">
        <v>15.364973958370676</v>
      </c>
    </row>
    <row r="5140" spans="1:3" x14ac:dyDescent="0.35">
      <c r="A5140" t="s">
        <v>99</v>
      </c>
      <c r="B5140">
        <v>2011</v>
      </c>
      <c r="C5140">
        <v>19.011708603770174</v>
      </c>
    </row>
    <row r="5141" spans="1:3" x14ac:dyDescent="0.35">
      <c r="A5141" t="s">
        <v>99</v>
      </c>
      <c r="B5141">
        <v>2012</v>
      </c>
      <c r="C5141">
        <v>20.330148289477844</v>
      </c>
    </row>
    <row r="5142" spans="1:3" x14ac:dyDescent="0.35">
      <c r="A5142" t="s">
        <v>99</v>
      </c>
      <c r="B5142">
        <v>2013</v>
      </c>
      <c r="C5142">
        <v>22.755619358991481</v>
      </c>
    </row>
    <row r="5143" spans="1:3" x14ac:dyDescent="0.35">
      <c r="A5143" t="s">
        <v>100</v>
      </c>
      <c r="B5143">
        <v>1957</v>
      </c>
      <c r="C5143">
        <v>62.720091989468244</v>
      </c>
    </row>
    <row r="5144" spans="1:3" x14ac:dyDescent="0.35">
      <c r="A5144" t="s">
        <v>100</v>
      </c>
      <c r="B5144">
        <v>1958</v>
      </c>
      <c r="C5144">
        <v>65.006762009917622</v>
      </c>
    </row>
    <row r="5145" spans="1:3" x14ac:dyDescent="0.35">
      <c r="A5145" t="s">
        <v>100</v>
      </c>
      <c r="B5145">
        <v>1959</v>
      </c>
      <c r="C5145">
        <v>55.53341478234168</v>
      </c>
    </row>
    <row r="5146" spans="1:3" x14ac:dyDescent="0.35">
      <c r="A5146" t="s">
        <v>100</v>
      </c>
      <c r="B5146">
        <v>1960</v>
      </c>
      <c r="C5146">
        <v>51.286741887221432</v>
      </c>
    </row>
    <row r="5147" spans="1:3" x14ac:dyDescent="0.35">
      <c r="A5147" t="s">
        <v>100</v>
      </c>
      <c r="B5147">
        <v>1961</v>
      </c>
      <c r="C5147">
        <v>42.466728951202462</v>
      </c>
    </row>
    <row r="5148" spans="1:3" x14ac:dyDescent="0.35">
      <c r="A5148" t="s">
        <v>100</v>
      </c>
      <c r="B5148">
        <v>1962</v>
      </c>
      <c r="C5148">
        <v>43.773397534316381</v>
      </c>
    </row>
    <row r="5149" spans="1:3" x14ac:dyDescent="0.35">
      <c r="A5149" t="s">
        <v>100</v>
      </c>
      <c r="B5149">
        <v>1963</v>
      </c>
      <c r="C5149">
        <v>60.760089114797367</v>
      </c>
    </row>
    <row r="5150" spans="1:3" x14ac:dyDescent="0.35">
      <c r="A5150" t="s">
        <v>100</v>
      </c>
      <c r="B5150">
        <v>1964</v>
      </c>
      <c r="C5150">
        <v>84.606790756626438</v>
      </c>
    </row>
    <row r="5151" spans="1:3" x14ac:dyDescent="0.35">
      <c r="A5151" t="s">
        <v>100</v>
      </c>
      <c r="B5151">
        <v>1965</v>
      </c>
      <c r="C5151">
        <v>118.58017391758841</v>
      </c>
    </row>
    <row r="5152" spans="1:3" x14ac:dyDescent="0.35">
      <c r="A5152" t="s">
        <v>100</v>
      </c>
      <c r="B5152">
        <v>1966</v>
      </c>
      <c r="C5152">
        <v>148.63355132920861</v>
      </c>
    </row>
    <row r="5153" spans="1:3" x14ac:dyDescent="0.35">
      <c r="A5153" t="s">
        <v>100</v>
      </c>
      <c r="B5153">
        <v>1967</v>
      </c>
      <c r="C5153">
        <v>143.40687699675291</v>
      </c>
    </row>
    <row r="5154" spans="1:3" x14ac:dyDescent="0.35">
      <c r="A5154" t="s">
        <v>100</v>
      </c>
      <c r="B5154">
        <v>1968</v>
      </c>
      <c r="C5154">
        <v>148.30688418343013</v>
      </c>
    </row>
    <row r="5155" spans="1:3" x14ac:dyDescent="0.35">
      <c r="A5155" t="s">
        <v>100</v>
      </c>
      <c r="B5155">
        <v>1969</v>
      </c>
      <c r="C5155">
        <v>143.7335441425314</v>
      </c>
    </row>
    <row r="5156" spans="1:3" x14ac:dyDescent="0.35">
      <c r="A5156" t="s">
        <v>100</v>
      </c>
      <c r="B5156">
        <v>1970</v>
      </c>
      <c r="C5156">
        <v>199.59362607065157</v>
      </c>
    </row>
    <row r="5157" spans="1:3" x14ac:dyDescent="0.35">
      <c r="A5157" t="s">
        <v>100</v>
      </c>
      <c r="B5157">
        <v>1971</v>
      </c>
      <c r="C5157">
        <v>228.02775648208214</v>
      </c>
    </row>
    <row r="5158" spans="1:3" x14ac:dyDescent="0.35">
      <c r="A5158" t="s">
        <v>100</v>
      </c>
      <c r="B5158">
        <v>1972</v>
      </c>
      <c r="C5158">
        <v>251.10300898012457</v>
      </c>
    </row>
    <row r="5159" spans="1:3" x14ac:dyDescent="0.35">
      <c r="A5159" t="s">
        <v>100</v>
      </c>
      <c r="B5159">
        <v>1973</v>
      </c>
      <c r="C5159">
        <v>296.72618925810264</v>
      </c>
    </row>
    <row r="5160" spans="1:3" x14ac:dyDescent="0.35">
      <c r="A5160" t="s">
        <v>100</v>
      </c>
      <c r="B5160">
        <v>1974</v>
      </c>
      <c r="C5160">
        <v>397.16335627962627</v>
      </c>
    </row>
    <row r="5161" spans="1:3" x14ac:dyDescent="0.35">
      <c r="A5161" t="s">
        <v>100</v>
      </c>
      <c r="B5161">
        <v>1975</v>
      </c>
      <c r="C5161">
        <v>440.72554704275245</v>
      </c>
    </row>
    <row r="5162" spans="1:3" x14ac:dyDescent="0.35">
      <c r="A5162" t="s">
        <v>100</v>
      </c>
      <c r="B5162">
        <v>1976</v>
      </c>
      <c r="C5162">
        <v>439.88558253363078</v>
      </c>
    </row>
    <row r="5163" spans="1:3" x14ac:dyDescent="0.35">
      <c r="A5163" t="s">
        <v>100</v>
      </c>
      <c r="B5163">
        <v>1977</v>
      </c>
      <c r="C5163">
        <v>637.87947734512124</v>
      </c>
    </row>
    <row r="5164" spans="1:3" x14ac:dyDescent="0.35">
      <c r="A5164" t="s">
        <v>100</v>
      </c>
      <c r="B5164">
        <v>1978</v>
      </c>
      <c r="C5164">
        <v>607.07068962539506</v>
      </c>
    </row>
    <row r="5165" spans="1:3" x14ac:dyDescent="0.35">
      <c r="A5165" t="s">
        <v>100</v>
      </c>
      <c r="B5165">
        <v>1979</v>
      </c>
      <c r="C5165">
        <v>778.63683719910068</v>
      </c>
    </row>
    <row r="5166" spans="1:3" x14ac:dyDescent="0.35">
      <c r="A5166" t="s">
        <v>100</v>
      </c>
      <c r="B5166">
        <v>1980</v>
      </c>
      <c r="C5166">
        <v>1035.8862224835543</v>
      </c>
    </row>
    <row r="5167" spans="1:3" x14ac:dyDescent="0.35">
      <c r="A5167" t="s">
        <v>100</v>
      </c>
      <c r="B5167">
        <v>1981</v>
      </c>
      <c r="C5167">
        <v>1446.5392427477734</v>
      </c>
    </row>
    <row r="5168" spans="1:3" x14ac:dyDescent="0.35">
      <c r="A5168" t="s">
        <v>100</v>
      </c>
      <c r="B5168">
        <v>1982</v>
      </c>
      <c r="C5168">
        <v>1438.3036666252747</v>
      </c>
    </row>
    <row r="5169" spans="1:3" x14ac:dyDescent="0.35">
      <c r="A5169" t="s">
        <v>100</v>
      </c>
      <c r="B5169">
        <v>1983</v>
      </c>
      <c r="C5169">
        <v>1342.380183091007</v>
      </c>
    </row>
    <row r="5170" spans="1:3" x14ac:dyDescent="0.35">
      <c r="A5170" t="s">
        <v>100</v>
      </c>
      <c r="B5170">
        <v>1984</v>
      </c>
      <c r="C5170">
        <v>1273.6597770988717</v>
      </c>
    </row>
    <row r="5171" spans="1:3" x14ac:dyDescent="0.35">
      <c r="A5171" t="s">
        <v>100</v>
      </c>
      <c r="B5171">
        <v>1985</v>
      </c>
      <c r="C5171">
        <v>1076.9057284618855</v>
      </c>
    </row>
    <row r="5172" spans="1:3" x14ac:dyDescent="0.35">
      <c r="A5172" t="s">
        <v>100</v>
      </c>
      <c r="B5172">
        <v>1986</v>
      </c>
      <c r="C5172">
        <v>894.07462501549514</v>
      </c>
    </row>
    <row r="5173" spans="1:3" x14ac:dyDescent="0.35">
      <c r="A5173" t="s">
        <v>100</v>
      </c>
      <c r="B5173">
        <v>1987</v>
      </c>
      <c r="C5173">
        <v>1334.714483021384</v>
      </c>
    </row>
    <row r="5174" spans="1:3" x14ac:dyDescent="0.35">
      <c r="A5174" t="s">
        <v>100</v>
      </c>
      <c r="B5174">
        <v>1988</v>
      </c>
      <c r="C5174">
        <v>855.74198672664363</v>
      </c>
    </row>
    <row r="5175" spans="1:3" x14ac:dyDescent="0.35">
      <c r="A5175" t="s">
        <v>100</v>
      </c>
      <c r="B5175">
        <v>1989</v>
      </c>
      <c r="C5175">
        <v>1019.2554746681236</v>
      </c>
    </row>
    <row r="5176" spans="1:3" x14ac:dyDescent="0.35">
      <c r="A5176" t="s">
        <v>100</v>
      </c>
      <c r="B5176">
        <v>1990</v>
      </c>
      <c r="C5176">
        <v>1125.0078562001131</v>
      </c>
    </row>
    <row r="5177" spans="1:3" x14ac:dyDescent="0.35">
      <c r="A5177" t="s">
        <v>100</v>
      </c>
      <c r="B5177">
        <v>1991</v>
      </c>
      <c r="C5177">
        <v>1571.9599864730715</v>
      </c>
    </row>
    <row r="5178" spans="1:3" x14ac:dyDescent="0.35">
      <c r="A5178" t="s">
        <v>100</v>
      </c>
      <c r="B5178">
        <v>1992</v>
      </c>
      <c r="C5178">
        <v>1766.5208959793986</v>
      </c>
    </row>
    <row r="5179" spans="1:3" x14ac:dyDescent="0.35">
      <c r="A5179" t="s">
        <v>100</v>
      </c>
      <c r="B5179">
        <v>1993</v>
      </c>
      <c r="C5179">
        <v>1923.3981717810955</v>
      </c>
    </row>
    <row r="5180" spans="1:3" x14ac:dyDescent="0.35">
      <c r="A5180" t="s">
        <v>100</v>
      </c>
      <c r="B5180">
        <v>1994</v>
      </c>
      <c r="C5180">
        <v>2120.5978066197708</v>
      </c>
    </row>
    <row r="5181" spans="1:3" x14ac:dyDescent="0.35">
      <c r="A5181" t="s">
        <v>100</v>
      </c>
      <c r="B5181">
        <v>1995</v>
      </c>
      <c r="C5181">
        <v>2444.0983868391631</v>
      </c>
    </row>
    <row r="5182" spans="1:3" x14ac:dyDescent="0.35">
      <c r="A5182" t="s">
        <v>100</v>
      </c>
      <c r="B5182">
        <v>1996</v>
      </c>
      <c r="C5182">
        <v>2420.9639339570895</v>
      </c>
    </row>
    <row r="5183" spans="1:3" x14ac:dyDescent="0.35">
      <c r="A5183" t="s">
        <v>100</v>
      </c>
      <c r="B5183">
        <v>1997</v>
      </c>
      <c r="C5183">
        <v>2089.0874772055922</v>
      </c>
    </row>
    <row r="5184" spans="1:3" x14ac:dyDescent="0.35">
      <c r="A5184" t="s">
        <v>100</v>
      </c>
      <c r="B5184">
        <v>1998</v>
      </c>
      <c r="C5184">
        <v>1158.6573131483524</v>
      </c>
    </row>
    <row r="5185" spans="1:3" x14ac:dyDescent="0.35">
      <c r="A5185" t="s">
        <v>100</v>
      </c>
      <c r="B5185">
        <v>1999</v>
      </c>
      <c r="C5185">
        <v>1663.2894736842106</v>
      </c>
    </row>
    <row r="5186" spans="1:3" x14ac:dyDescent="0.35">
      <c r="A5186" t="s">
        <v>100</v>
      </c>
      <c r="B5186">
        <v>2000</v>
      </c>
      <c r="C5186">
        <v>1533.1578947368421</v>
      </c>
    </row>
    <row r="5187" spans="1:3" x14ac:dyDescent="0.35">
      <c r="A5187" t="s">
        <v>100</v>
      </c>
      <c r="B5187">
        <v>2001</v>
      </c>
      <c r="C5187">
        <v>1934.4736842105265</v>
      </c>
    </row>
    <row r="5188" spans="1:3" x14ac:dyDescent="0.35">
      <c r="A5188" t="s">
        <v>100</v>
      </c>
      <c r="B5188">
        <v>2002</v>
      </c>
      <c r="C5188">
        <v>2237.8947368421054</v>
      </c>
    </row>
    <row r="5189" spans="1:3" x14ac:dyDescent="0.35">
      <c r="A5189" t="s">
        <v>100</v>
      </c>
      <c r="B5189">
        <v>2003</v>
      </c>
      <c r="C5189">
        <v>2881.5789473684213</v>
      </c>
    </row>
    <row r="5190" spans="1:3" x14ac:dyDescent="0.35">
      <c r="A5190" t="s">
        <v>100</v>
      </c>
      <c r="B5190">
        <v>2004</v>
      </c>
      <c r="C5190">
        <v>2823.1578947368421</v>
      </c>
    </row>
    <row r="5191" spans="1:3" x14ac:dyDescent="0.35">
      <c r="A5191" t="s">
        <v>100</v>
      </c>
      <c r="B5191">
        <v>2005</v>
      </c>
      <c r="C5191">
        <v>3120.3377791391276</v>
      </c>
    </row>
    <row r="5192" spans="1:3" x14ac:dyDescent="0.35">
      <c r="A5192" t="s">
        <v>100</v>
      </c>
      <c r="B5192">
        <v>2006</v>
      </c>
      <c r="C5192">
        <v>3266.197405797971</v>
      </c>
    </row>
    <row r="5193" spans="1:3" x14ac:dyDescent="0.35">
      <c r="A5193" t="s">
        <v>100</v>
      </c>
      <c r="B5193">
        <v>2007</v>
      </c>
      <c r="C5193">
        <v>3970.5373272398815</v>
      </c>
    </row>
    <row r="5194" spans="1:3" x14ac:dyDescent="0.35">
      <c r="A5194" t="s">
        <v>100</v>
      </c>
      <c r="B5194">
        <v>2008</v>
      </c>
      <c r="C5194">
        <v>4411.7955651217244</v>
      </c>
    </row>
    <row r="5195" spans="1:3" x14ac:dyDescent="0.35">
      <c r="A5195" t="s">
        <v>100</v>
      </c>
      <c r="B5195">
        <v>2009</v>
      </c>
      <c r="C5195">
        <v>3964.8177046389555</v>
      </c>
    </row>
    <row r="5196" spans="1:3" x14ac:dyDescent="0.35">
      <c r="A5196" t="s">
        <v>100</v>
      </c>
      <c r="B5196">
        <v>2010</v>
      </c>
      <c r="C5196">
        <v>3854.2853506111287</v>
      </c>
    </row>
    <row r="5197" spans="1:3" x14ac:dyDescent="0.35">
      <c r="A5197" t="s">
        <v>100</v>
      </c>
      <c r="B5197">
        <v>2011</v>
      </c>
      <c r="C5197">
        <v>4692.4836601307188</v>
      </c>
    </row>
    <row r="5198" spans="1:3" x14ac:dyDescent="0.35">
      <c r="A5198" t="s">
        <v>100</v>
      </c>
      <c r="B5198">
        <v>2012</v>
      </c>
      <c r="C5198">
        <v>4507.2520072520074</v>
      </c>
    </row>
    <row r="5199" spans="1:3" x14ac:dyDescent="0.35">
      <c r="A5199" t="s">
        <v>100</v>
      </c>
      <c r="B5199">
        <v>2013</v>
      </c>
      <c r="C5199">
        <v>4915.7227594567921</v>
      </c>
    </row>
    <row r="5200" spans="1:3" x14ac:dyDescent="0.35">
      <c r="A5200" t="s">
        <v>100</v>
      </c>
      <c r="B5200">
        <v>2014</v>
      </c>
      <c r="C5200">
        <v>4919.2453228585164</v>
      </c>
    </row>
    <row r="5201" spans="1:3" x14ac:dyDescent="0.35">
      <c r="A5201" t="s">
        <v>100</v>
      </c>
      <c r="B5201">
        <v>2015</v>
      </c>
      <c r="C5201">
        <v>4532.0698522443172</v>
      </c>
    </row>
    <row r="5202" spans="1:3" x14ac:dyDescent="0.35">
      <c r="A5202" t="s">
        <v>100</v>
      </c>
      <c r="B5202">
        <v>2016</v>
      </c>
      <c r="C5202">
        <v>4169.3740005069312</v>
      </c>
    </row>
    <row r="5203" spans="1:3" x14ac:dyDescent="0.35">
      <c r="A5203" t="s">
        <v>100</v>
      </c>
      <c r="B5203">
        <v>2017</v>
      </c>
      <c r="C5203">
        <v>3494.83225687397</v>
      </c>
    </row>
    <row r="5204" spans="1:3" x14ac:dyDescent="0.35">
      <c r="A5204" t="s">
        <v>100</v>
      </c>
      <c r="B5204">
        <v>2018</v>
      </c>
      <c r="C5204">
        <v>3445.0437196000848</v>
      </c>
    </row>
    <row r="5205" spans="1:3" x14ac:dyDescent="0.35">
      <c r="A5205" t="s">
        <v>100</v>
      </c>
      <c r="B5205">
        <v>2019</v>
      </c>
      <c r="C5205">
        <v>3265.2814689538536</v>
      </c>
    </row>
    <row r="5206" spans="1:3" x14ac:dyDescent="0.35">
      <c r="A5206" t="s">
        <v>100</v>
      </c>
      <c r="B5206">
        <v>2020</v>
      </c>
      <c r="C5206">
        <v>3374.5835316515945</v>
      </c>
    </row>
    <row r="5207" spans="1:3" x14ac:dyDescent="0.35">
      <c r="A5207" t="s">
        <v>100</v>
      </c>
      <c r="B5207">
        <v>2021</v>
      </c>
      <c r="C5207">
        <v>3675.4890123158657</v>
      </c>
    </row>
    <row r="5208" spans="1:3" x14ac:dyDescent="0.35">
      <c r="A5208" t="s">
        <v>100</v>
      </c>
      <c r="B5208">
        <v>2022</v>
      </c>
      <c r="C5208">
        <v>3673.7882478336619</v>
      </c>
    </row>
    <row r="5209" spans="1:3" x14ac:dyDescent="0.35">
      <c r="A5209" t="s">
        <v>100</v>
      </c>
      <c r="B5209">
        <v>2023</v>
      </c>
      <c r="C5209">
        <v>3925.4192748900869</v>
      </c>
    </row>
    <row r="5210" spans="1:3" x14ac:dyDescent="0.35">
      <c r="A5210" t="s">
        <v>100</v>
      </c>
      <c r="B5210">
        <v>2024</v>
      </c>
      <c r="C5210">
        <v>4377.6229278869687</v>
      </c>
    </row>
    <row r="5211" spans="1:3" x14ac:dyDescent="0.35">
      <c r="A5211" t="s">
        <v>100</v>
      </c>
      <c r="B5211">
        <v>2025</v>
      </c>
      <c r="C5211">
        <v>4933.1773671602477</v>
      </c>
    </row>
    <row r="5212" spans="1:3" x14ac:dyDescent="0.35">
      <c r="A5212" t="s">
        <v>101</v>
      </c>
      <c r="B5212">
        <v>1951</v>
      </c>
      <c r="C5212">
        <v>32.061782061782061</v>
      </c>
    </row>
    <row r="5213" spans="1:3" x14ac:dyDescent="0.35">
      <c r="A5213" t="s">
        <v>101</v>
      </c>
      <c r="B5213">
        <v>1952</v>
      </c>
      <c r="C5213">
        <v>46.677796677796678</v>
      </c>
    </row>
    <row r="5214" spans="1:3" x14ac:dyDescent="0.35">
      <c r="A5214" t="s">
        <v>101</v>
      </c>
      <c r="B5214">
        <v>1953</v>
      </c>
      <c r="C5214">
        <v>64.869064869064871</v>
      </c>
    </row>
    <row r="5215" spans="1:3" x14ac:dyDescent="0.35">
      <c r="A5215" t="s">
        <v>101</v>
      </c>
      <c r="B5215">
        <v>1954</v>
      </c>
      <c r="C5215">
        <v>77.605577605577608</v>
      </c>
    </row>
    <row r="5216" spans="1:3" x14ac:dyDescent="0.35">
      <c r="A5216" t="s">
        <v>101</v>
      </c>
      <c r="B5216">
        <v>1955</v>
      </c>
      <c r="C5216">
        <v>70.974820974820972</v>
      </c>
    </row>
    <row r="5217" spans="1:3" x14ac:dyDescent="0.35">
      <c r="A5217" t="s">
        <v>101</v>
      </c>
      <c r="B5217">
        <v>1956</v>
      </c>
      <c r="C5217">
        <v>75.022575022575026</v>
      </c>
    </row>
    <row r="5218" spans="1:3" x14ac:dyDescent="0.35">
      <c r="A5218" t="s">
        <v>101</v>
      </c>
      <c r="B5218">
        <v>1957</v>
      </c>
      <c r="C5218">
        <v>79.437829437829436</v>
      </c>
    </row>
    <row r="5219" spans="1:3" x14ac:dyDescent="0.35">
      <c r="A5219" t="s">
        <v>101</v>
      </c>
      <c r="B5219">
        <v>1958</v>
      </c>
      <c r="C5219">
        <v>85.370335370335368</v>
      </c>
    </row>
    <row r="5220" spans="1:3" x14ac:dyDescent="0.35">
      <c r="A5220" t="s">
        <v>101</v>
      </c>
      <c r="B5220">
        <v>1959</v>
      </c>
      <c r="C5220">
        <v>86.257586257586254</v>
      </c>
    </row>
    <row r="5221" spans="1:3" x14ac:dyDescent="0.35">
      <c r="A5221" t="s">
        <v>101</v>
      </c>
      <c r="B5221">
        <v>1960</v>
      </c>
      <c r="C5221">
        <v>89.512589512589514</v>
      </c>
    </row>
    <row r="5222" spans="1:3" x14ac:dyDescent="0.35">
      <c r="A5222" t="s">
        <v>101</v>
      </c>
      <c r="B5222">
        <v>1961</v>
      </c>
      <c r="C5222">
        <v>85.617085617085621</v>
      </c>
    </row>
    <row r="5223" spans="1:3" x14ac:dyDescent="0.35">
      <c r="A5223" t="s">
        <v>101</v>
      </c>
      <c r="B5223">
        <v>1962</v>
      </c>
      <c r="C5223">
        <v>90.704340704340709</v>
      </c>
    </row>
    <row r="5224" spans="1:3" x14ac:dyDescent="0.35">
      <c r="A5224" t="s">
        <v>101</v>
      </c>
      <c r="B5224">
        <v>1963</v>
      </c>
      <c r="C5224">
        <v>100.32235032235032</v>
      </c>
    </row>
    <row r="5225" spans="1:3" x14ac:dyDescent="0.35">
      <c r="A5225" t="s">
        <v>101</v>
      </c>
      <c r="B5225">
        <v>1964</v>
      </c>
      <c r="C5225">
        <v>97.912597912597903</v>
      </c>
    </row>
    <row r="5226" spans="1:3" x14ac:dyDescent="0.35">
      <c r="A5226" t="s">
        <v>101</v>
      </c>
      <c r="B5226">
        <v>1965</v>
      </c>
      <c r="C5226">
        <v>107.24185724185725</v>
      </c>
    </row>
    <row r="5227" spans="1:3" x14ac:dyDescent="0.35">
      <c r="A5227" t="s">
        <v>101</v>
      </c>
      <c r="B5227">
        <v>1966</v>
      </c>
      <c r="C5227">
        <v>105.45685545685546</v>
      </c>
    </row>
    <row r="5228" spans="1:3" x14ac:dyDescent="0.35">
      <c r="A5228" t="s">
        <v>101</v>
      </c>
      <c r="B5228">
        <v>1967</v>
      </c>
      <c r="C5228">
        <v>102.03910203910205</v>
      </c>
    </row>
    <row r="5229" spans="1:3" x14ac:dyDescent="0.35">
      <c r="A5229" t="s">
        <v>101</v>
      </c>
      <c r="B5229">
        <v>1968</v>
      </c>
      <c r="C5229">
        <v>104.59060459060458</v>
      </c>
    </row>
    <row r="5230" spans="1:3" x14ac:dyDescent="0.35">
      <c r="A5230" t="s">
        <v>101</v>
      </c>
      <c r="B5230">
        <v>1969</v>
      </c>
      <c r="C5230">
        <v>114.41861441861441</v>
      </c>
    </row>
    <row r="5231" spans="1:3" x14ac:dyDescent="0.35">
      <c r="A5231" t="s">
        <v>101</v>
      </c>
      <c r="B5231">
        <v>1970</v>
      </c>
      <c r="C5231">
        <v>122.78187278187279</v>
      </c>
    </row>
    <row r="5232" spans="1:3" x14ac:dyDescent="0.35">
      <c r="A5232" t="s">
        <v>101</v>
      </c>
      <c r="B5232">
        <v>1971</v>
      </c>
      <c r="C5232">
        <v>127.75874950680399</v>
      </c>
    </row>
    <row r="5233" spans="1:3" x14ac:dyDescent="0.35">
      <c r="A5233" t="s">
        <v>101</v>
      </c>
      <c r="B5233">
        <v>1972</v>
      </c>
      <c r="C5233">
        <v>117.18127517405473</v>
      </c>
    </row>
    <row r="5234" spans="1:3" x14ac:dyDescent="0.35">
      <c r="A5234" t="s">
        <v>101</v>
      </c>
      <c r="B5234">
        <v>1973</v>
      </c>
      <c r="C5234">
        <v>152.45231745774228</v>
      </c>
    </row>
    <row r="5235" spans="1:3" x14ac:dyDescent="0.35">
      <c r="A5235" t="s">
        <v>101</v>
      </c>
      <c r="B5235">
        <v>1974</v>
      </c>
      <c r="C5235">
        <v>159.99934190502046</v>
      </c>
    </row>
    <row r="5236" spans="1:3" x14ac:dyDescent="0.35">
      <c r="A5236" t="s">
        <v>101</v>
      </c>
      <c r="B5236">
        <v>1975</v>
      </c>
      <c r="C5236">
        <v>138.92372323415995</v>
      </c>
    </row>
    <row r="5237" spans="1:3" x14ac:dyDescent="0.35">
      <c r="A5237" t="s">
        <v>101</v>
      </c>
      <c r="B5237">
        <v>1976</v>
      </c>
      <c r="C5237">
        <v>155.14220747754126</v>
      </c>
    </row>
    <row r="5238" spans="1:3" x14ac:dyDescent="0.35">
      <c r="A5238" t="s">
        <v>101</v>
      </c>
      <c r="B5238">
        <v>1977</v>
      </c>
      <c r="C5238">
        <v>169.29367819344617</v>
      </c>
    </row>
    <row r="5239" spans="1:3" x14ac:dyDescent="0.35">
      <c r="A5239" t="s">
        <v>101</v>
      </c>
      <c r="B5239">
        <v>1978</v>
      </c>
      <c r="C5239">
        <v>183.42928925931048</v>
      </c>
    </row>
    <row r="5240" spans="1:3" x14ac:dyDescent="0.35">
      <c r="A5240" t="s">
        <v>101</v>
      </c>
      <c r="B5240">
        <v>1979</v>
      </c>
      <c r="C5240">
        <v>190.86635407303029</v>
      </c>
    </row>
    <row r="5241" spans="1:3" x14ac:dyDescent="0.35">
      <c r="A5241" t="s">
        <v>101</v>
      </c>
      <c r="B5241">
        <v>1980</v>
      </c>
      <c r="C5241">
        <v>202.08346716344406</v>
      </c>
    </row>
    <row r="5242" spans="1:3" x14ac:dyDescent="0.35">
      <c r="A5242" t="s">
        <v>101</v>
      </c>
      <c r="B5242">
        <v>1981</v>
      </c>
      <c r="C5242">
        <v>205.28811662608686</v>
      </c>
    </row>
    <row r="5243" spans="1:3" x14ac:dyDescent="0.35">
      <c r="A5243" t="s">
        <v>101</v>
      </c>
      <c r="B5243">
        <v>1982</v>
      </c>
      <c r="C5243">
        <v>195.41941559671349</v>
      </c>
    </row>
    <row r="5244" spans="1:3" x14ac:dyDescent="0.35">
      <c r="A5244" t="s">
        <v>101</v>
      </c>
      <c r="B5244">
        <v>1983</v>
      </c>
      <c r="C5244">
        <v>192.1699914577157</v>
      </c>
    </row>
    <row r="5245" spans="1:3" x14ac:dyDescent="0.35">
      <c r="A5245" t="s">
        <v>101</v>
      </c>
      <c r="B5245">
        <v>1984</v>
      </c>
      <c r="C5245">
        <v>188.72082926365155</v>
      </c>
    </row>
    <row r="5246" spans="1:3" x14ac:dyDescent="0.35">
      <c r="A5246" t="s">
        <v>101</v>
      </c>
      <c r="B5246">
        <v>1985</v>
      </c>
      <c r="C5246">
        <v>196.75864469577633</v>
      </c>
    </row>
    <row r="5247" spans="1:3" x14ac:dyDescent="0.35">
      <c r="A5247" t="s">
        <v>101</v>
      </c>
      <c r="B5247">
        <v>1986</v>
      </c>
      <c r="C5247">
        <v>231.84336964795821</v>
      </c>
    </row>
    <row r="5248" spans="1:3" x14ac:dyDescent="0.35">
      <c r="A5248" t="s">
        <v>101</v>
      </c>
      <c r="B5248">
        <v>1987</v>
      </c>
      <c r="C5248">
        <v>203.6537435465811</v>
      </c>
    </row>
    <row r="5249" spans="1:3" x14ac:dyDescent="0.35">
      <c r="A5249" t="s">
        <v>101</v>
      </c>
      <c r="B5249">
        <v>1988</v>
      </c>
      <c r="C5249">
        <v>255.25682848179852</v>
      </c>
    </row>
    <row r="5250" spans="1:3" x14ac:dyDescent="0.35">
      <c r="A5250" t="s">
        <v>101</v>
      </c>
      <c r="B5250">
        <v>1989</v>
      </c>
      <c r="C5250">
        <v>550.1946337752986</v>
      </c>
    </row>
    <row r="5251" spans="1:3" x14ac:dyDescent="0.35">
      <c r="A5251" t="s">
        <v>101</v>
      </c>
      <c r="B5251">
        <v>1990</v>
      </c>
      <c r="C5251">
        <v>814.02558309773826</v>
      </c>
    </row>
    <row r="5252" spans="1:3" x14ac:dyDescent="0.35">
      <c r="A5252" t="s">
        <v>101</v>
      </c>
      <c r="B5252">
        <v>1991</v>
      </c>
      <c r="C5252">
        <v>942.67708515683432</v>
      </c>
    </row>
    <row r="5253" spans="1:3" x14ac:dyDescent="0.35">
      <c r="A5253" t="s">
        <v>101</v>
      </c>
      <c r="B5253">
        <v>1992</v>
      </c>
      <c r="C5253">
        <v>1370.4576765123606</v>
      </c>
    </row>
    <row r="5254" spans="1:3" x14ac:dyDescent="0.35">
      <c r="A5254" t="s">
        <v>101</v>
      </c>
      <c r="B5254">
        <v>1993</v>
      </c>
      <c r="C5254">
        <v>2061.8096238896728</v>
      </c>
    </row>
    <row r="5255" spans="1:3" x14ac:dyDescent="0.35">
      <c r="A5255" t="s">
        <v>101</v>
      </c>
      <c r="B5255">
        <v>1994</v>
      </c>
      <c r="C5255">
        <v>2801.966891551504</v>
      </c>
    </row>
    <row r="5256" spans="1:3" x14ac:dyDescent="0.35">
      <c r="A5256" t="s">
        <v>101</v>
      </c>
      <c r="B5256">
        <v>1995</v>
      </c>
      <c r="C5256">
        <v>3932.0791806657444</v>
      </c>
    </row>
    <row r="5257" spans="1:3" x14ac:dyDescent="0.35">
      <c r="A5257" t="s">
        <v>101</v>
      </c>
      <c r="B5257">
        <v>1996</v>
      </c>
      <c r="C5257">
        <v>4675.4411016684207</v>
      </c>
    </row>
    <row r="5258" spans="1:3" x14ac:dyDescent="0.35">
      <c r="A5258" t="s">
        <v>101</v>
      </c>
      <c r="B5258">
        <v>1997</v>
      </c>
      <c r="C5258">
        <v>4780.5291076495187</v>
      </c>
    </row>
    <row r="5259" spans="1:3" x14ac:dyDescent="0.35">
      <c r="A5259" t="s">
        <v>101</v>
      </c>
      <c r="B5259">
        <v>1998</v>
      </c>
      <c r="C5259">
        <v>5873.0979511789074</v>
      </c>
    </row>
    <row r="5260" spans="1:3" x14ac:dyDescent="0.35">
      <c r="A5260" t="s">
        <v>101</v>
      </c>
      <c r="B5260">
        <v>1999</v>
      </c>
      <c r="C5260">
        <v>6950.0810558418261</v>
      </c>
    </row>
    <row r="5261" spans="1:3" x14ac:dyDescent="0.35">
      <c r="A5261" t="s">
        <v>101</v>
      </c>
      <c r="B5261">
        <v>2000</v>
      </c>
      <c r="C5261">
        <v>9030.5644088369481</v>
      </c>
    </row>
    <row r="5262" spans="1:3" x14ac:dyDescent="0.35">
      <c r="A5262" t="s">
        <v>101</v>
      </c>
      <c r="B5262">
        <v>2001</v>
      </c>
      <c r="C5262">
        <v>9464.4172170024485</v>
      </c>
    </row>
    <row r="5263" spans="1:3" x14ac:dyDescent="0.35">
      <c r="A5263" t="s">
        <v>101</v>
      </c>
      <c r="B5263">
        <v>2002</v>
      </c>
      <c r="C5263">
        <v>11000.356815937175</v>
      </c>
    </row>
    <row r="5264" spans="1:3" x14ac:dyDescent="0.35">
      <c r="A5264" t="s">
        <v>101</v>
      </c>
      <c r="B5264">
        <v>2003</v>
      </c>
      <c r="C5264">
        <v>24189.109502796091</v>
      </c>
    </row>
    <row r="5265" spans="1:3" x14ac:dyDescent="0.35">
      <c r="A5265" t="s">
        <v>101</v>
      </c>
      <c r="B5265">
        <v>2004</v>
      </c>
      <c r="C5265">
        <v>29853.914082913208</v>
      </c>
    </row>
    <row r="5266" spans="1:3" x14ac:dyDescent="0.35">
      <c r="A5266" t="s">
        <v>101</v>
      </c>
      <c r="B5266">
        <v>2005</v>
      </c>
      <c r="C5266">
        <v>32954.262250845197</v>
      </c>
    </row>
    <row r="5267" spans="1:3" x14ac:dyDescent="0.35">
      <c r="A5267" t="s">
        <v>101</v>
      </c>
      <c r="B5267">
        <v>2012</v>
      </c>
      <c r="C5267">
        <v>2969.2360763158836</v>
      </c>
    </row>
    <row r="5268" spans="1:3" x14ac:dyDescent="0.35">
      <c r="A5268" t="s">
        <v>101</v>
      </c>
      <c r="B5268">
        <v>2013</v>
      </c>
      <c r="C5268">
        <v>2366.9890849106118</v>
      </c>
    </row>
    <row r="5269" spans="1:3" x14ac:dyDescent="0.35">
      <c r="A5269" t="s">
        <v>101</v>
      </c>
      <c r="B5269">
        <v>2014</v>
      </c>
      <c r="C5269">
        <v>2372.8959116141423</v>
      </c>
    </row>
    <row r="5270" spans="1:3" x14ac:dyDescent="0.35">
      <c r="A5270" t="s">
        <v>101</v>
      </c>
      <c r="B5270">
        <v>2015</v>
      </c>
      <c r="C5270">
        <v>2552.3704418280217</v>
      </c>
    </row>
    <row r="5271" spans="1:3" x14ac:dyDescent="0.35">
      <c r="A5271" t="s">
        <v>101</v>
      </c>
      <c r="B5271">
        <v>2016</v>
      </c>
      <c r="C5271">
        <v>2457.6705951834097</v>
      </c>
    </row>
    <row r="5272" spans="1:3" x14ac:dyDescent="0.35">
      <c r="A5272" t="s">
        <v>101</v>
      </c>
      <c r="B5272">
        <v>2017</v>
      </c>
      <c r="C5272">
        <v>2214.0428729652381</v>
      </c>
    </row>
    <row r="5273" spans="1:3" x14ac:dyDescent="0.35">
      <c r="A5273" t="s">
        <v>101</v>
      </c>
      <c r="B5273">
        <v>2018</v>
      </c>
      <c r="C5273">
        <v>1531.4119364120061</v>
      </c>
    </row>
    <row r="5274" spans="1:3" x14ac:dyDescent="0.35">
      <c r="A5274" t="s">
        <v>101</v>
      </c>
      <c r="B5274">
        <v>2019</v>
      </c>
      <c r="C5274">
        <v>1518.1160759467073</v>
      </c>
    </row>
    <row r="5275" spans="1:3" x14ac:dyDescent="0.35">
      <c r="A5275" t="s">
        <v>101</v>
      </c>
      <c r="B5275">
        <v>2020</v>
      </c>
      <c r="C5275">
        <v>2491.431852602906</v>
      </c>
    </row>
    <row r="5276" spans="1:3" x14ac:dyDescent="0.35">
      <c r="A5276" t="s">
        <v>101</v>
      </c>
      <c r="B5276">
        <v>2021</v>
      </c>
      <c r="C5276">
        <v>2642.7255086032546</v>
      </c>
    </row>
    <row r="5277" spans="1:3" x14ac:dyDescent="0.35">
      <c r="A5277" t="s">
        <v>101</v>
      </c>
      <c r="B5277">
        <v>2022</v>
      </c>
      <c r="C5277">
        <v>2489.9059866877787</v>
      </c>
    </row>
    <row r="5278" spans="1:3" x14ac:dyDescent="0.35">
      <c r="A5278" t="s">
        <v>101</v>
      </c>
      <c r="B5278">
        <v>2023</v>
      </c>
      <c r="C5278">
        <v>2493.4864513424823</v>
      </c>
    </row>
    <row r="5279" spans="1:3" x14ac:dyDescent="0.35">
      <c r="A5279" t="s">
        <v>101</v>
      </c>
      <c r="B5279">
        <v>2024</v>
      </c>
      <c r="C5279">
        <v>5011.272415126733</v>
      </c>
    </row>
    <row r="5280" spans="1:3" x14ac:dyDescent="0.35">
      <c r="A5280" t="s">
        <v>102</v>
      </c>
      <c r="B5280">
        <v>1958</v>
      </c>
      <c r="C5280">
        <v>117.75</v>
      </c>
    </row>
    <row r="5281" spans="1:3" x14ac:dyDescent="0.35">
      <c r="A5281" t="s">
        <v>102</v>
      </c>
      <c r="B5281">
        <v>1959</v>
      </c>
      <c r="C5281">
        <v>120.5</v>
      </c>
    </row>
    <row r="5282" spans="1:3" x14ac:dyDescent="0.35">
      <c r="A5282" t="s">
        <v>102</v>
      </c>
      <c r="B5282">
        <v>1960</v>
      </c>
      <c r="C5282">
        <v>123.82133995037221</v>
      </c>
    </row>
    <row r="5283" spans="1:3" x14ac:dyDescent="0.35">
      <c r="A5283" t="s">
        <v>102</v>
      </c>
      <c r="B5283">
        <v>1961</v>
      </c>
      <c r="C5283">
        <v>128.71287128712871</v>
      </c>
    </row>
    <row r="5284" spans="1:3" x14ac:dyDescent="0.35">
      <c r="A5284" t="s">
        <v>102</v>
      </c>
      <c r="B5284">
        <v>1962</v>
      </c>
      <c r="C5284">
        <v>82.889601244685281</v>
      </c>
    </row>
    <row r="5285" spans="1:3" x14ac:dyDescent="0.35">
      <c r="A5285" t="s">
        <v>102</v>
      </c>
      <c r="B5285">
        <v>1963</v>
      </c>
      <c r="C5285">
        <v>94.23540182384501</v>
      </c>
    </row>
    <row r="5286" spans="1:3" x14ac:dyDescent="0.35">
      <c r="A5286" t="s">
        <v>102</v>
      </c>
      <c r="B5286">
        <v>1964</v>
      </c>
      <c r="C5286">
        <v>93.605898706141417</v>
      </c>
    </row>
    <row r="5287" spans="1:3" x14ac:dyDescent="0.35">
      <c r="A5287" t="s">
        <v>102</v>
      </c>
      <c r="B5287">
        <v>1965</v>
      </c>
      <c r="C5287">
        <v>93.114395127354399</v>
      </c>
    </row>
    <row r="5288" spans="1:3" x14ac:dyDescent="0.35">
      <c r="A5288" t="s">
        <v>102</v>
      </c>
      <c r="B5288">
        <v>1966</v>
      </c>
      <c r="C5288">
        <v>109.61538461538463</v>
      </c>
    </row>
    <row r="5289" spans="1:3" x14ac:dyDescent="0.35">
      <c r="A5289" t="s">
        <v>102</v>
      </c>
      <c r="B5289">
        <v>1967</v>
      </c>
      <c r="C5289">
        <v>129.48717948717947</v>
      </c>
    </row>
    <row r="5290" spans="1:3" x14ac:dyDescent="0.35">
      <c r="A5290" t="s">
        <v>102</v>
      </c>
      <c r="B5290">
        <v>1968</v>
      </c>
      <c r="C5290">
        <v>153.84615384615387</v>
      </c>
    </row>
    <row r="5291" spans="1:3" x14ac:dyDescent="0.35">
      <c r="A5291" t="s">
        <v>102</v>
      </c>
      <c r="B5291">
        <v>1969</v>
      </c>
      <c r="C5291">
        <v>189.23076923076925</v>
      </c>
    </row>
    <row r="5292" spans="1:3" x14ac:dyDescent="0.35">
      <c r="A5292" t="s">
        <v>102</v>
      </c>
      <c r="B5292">
        <v>1970</v>
      </c>
      <c r="C5292">
        <v>155.05517118734494</v>
      </c>
    </row>
    <row r="5293" spans="1:3" x14ac:dyDescent="0.35">
      <c r="A5293" t="s">
        <v>102</v>
      </c>
      <c r="B5293">
        <v>1971</v>
      </c>
      <c r="C5293">
        <v>161.31013369694841</v>
      </c>
    </row>
    <row r="5294" spans="1:3" x14ac:dyDescent="0.35">
      <c r="A5294" t="s">
        <v>102</v>
      </c>
      <c r="B5294">
        <v>1972</v>
      </c>
      <c r="C5294">
        <v>196.25938599277288</v>
      </c>
    </row>
    <row r="5295" spans="1:3" x14ac:dyDescent="0.35">
      <c r="A5295" t="s">
        <v>102</v>
      </c>
      <c r="B5295">
        <v>1973</v>
      </c>
      <c r="C5295">
        <v>301.20125276039477</v>
      </c>
    </row>
    <row r="5296" spans="1:3" x14ac:dyDescent="0.35">
      <c r="A5296" t="s">
        <v>102</v>
      </c>
      <c r="B5296">
        <v>1974</v>
      </c>
      <c r="C5296">
        <v>521.51853232309986</v>
      </c>
    </row>
    <row r="5297" spans="1:3" x14ac:dyDescent="0.35">
      <c r="A5297" t="s">
        <v>102</v>
      </c>
      <c r="B5297">
        <v>1976</v>
      </c>
      <c r="C5297">
        <v>714.75996806563205</v>
      </c>
    </row>
    <row r="5298" spans="1:3" x14ac:dyDescent="0.35">
      <c r="A5298" t="s">
        <v>102</v>
      </c>
      <c r="B5298">
        <v>1977</v>
      </c>
      <c r="C5298">
        <v>754.44222607060556</v>
      </c>
    </row>
    <row r="5299" spans="1:3" x14ac:dyDescent="0.35">
      <c r="A5299" t="s">
        <v>102</v>
      </c>
      <c r="B5299">
        <v>1978</v>
      </c>
      <c r="C5299">
        <v>622.74632895994432</v>
      </c>
    </row>
    <row r="5300" spans="1:3" x14ac:dyDescent="0.35">
      <c r="A5300" t="s">
        <v>102</v>
      </c>
      <c r="B5300">
        <v>1979</v>
      </c>
      <c r="C5300">
        <v>874.27397984425727</v>
      </c>
    </row>
    <row r="5301" spans="1:3" x14ac:dyDescent="0.35">
      <c r="A5301" t="s">
        <v>102</v>
      </c>
      <c r="B5301">
        <v>1980</v>
      </c>
      <c r="C5301">
        <v>879.32657296946115</v>
      </c>
    </row>
    <row r="5302" spans="1:3" x14ac:dyDescent="0.35">
      <c r="A5302" t="s">
        <v>102</v>
      </c>
      <c r="B5302">
        <v>1981</v>
      </c>
      <c r="C5302">
        <v>982.32200160766615</v>
      </c>
    </row>
    <row r="5303" spans="1:3" x14ac:dyDescent="0.35">
      <c r="A5303" t="s">
        <v>102</v>
      </c>
      <c r="B5303">
        <v>1982</v>
      </c>
      <c r="C5303">
        <v>964.63700234192049</v>
      </c>
    </row>
    <row r="5304" spans="1:3" x14ac:dyDescent="0.35">
      <c r="A5304" t="s">
        <v>102</v>
      </c>
      <c r="B5304">
        <v>1983</v>
      </c>
      <c r="C5304">
        <v>800.16557632258582</v>
      </c>
    </row>
    <row r="5305" spans="1:3" x14ac:dyDescent="0.35">
      <c r="A5305" t="s">
        <v>102</v>
      </c>
      <c r="B5305">
        <v>1984</v>
      </c>
      <c r="C5305">
        <v>513.4531430590406</v>
      </c>
    </row>
    <row r="5306" spans="1:3" x14ac:dyDescent="0.35">
      <c r="A5306" t="s">
        <v>102</v>
      </c>
      <c r="B5306">
        <v>1985</v>
      </c>
      <c r="C5306">
        <v>609.33074653496215</v>
      </c>
    </row>
    <row r="5307" spans="1:3" x14ac:dyDescent="0.35">
      <c r="A5307" t="s">
        <v>102</v>
      </c>
      <c r="B5307">
        <v>1986</v>
      </c>
      <c r="C5307">
        <v>593.7985941125396</v>
      </c>
    </row>
    <row r="5308" spans="1:3" x14ac:dyDescent="0.35">
      <c r="A5308" t="s">
        <v>102</v>
      </c>
      <c r="B5308">
        <v>1987</v>
      </c>
      <c r="C5308">
        <v>652.38213315052246</v>
      </c>
    </row>
    <row r="5309" spans="1:3" x14ac:dyDescent="0.35">
      <c r="A5309" t="s">
        <v>102</v>
      </c>
      <c r="B5309">
        <v>1988</v>
      </c>
      <c r="C5309">
        <v>931.56100821533369</v>
      </c>
    </row>
    <row r="5310" spans="1:3" x14ac:dyDescent="0.35">
      <c r="A5310" t="s">
        <v>102</v>
      </c>
      <c r="B5310">
        <v>1989</v>
      </c>
      <c r="C5310">
        <v>954.92876103548383</v>
      </c>
    </row>
    <row r="5311" spans="1:3" x14ac:dyDescent="0.35">
      <c r="A5311" t="s">
        <v>102</v>
      </c>
      <c r="B5311">
        <v>1990</v>
      </c>
      <c r="C5311">
        <v>951.48186997387961</v>
      </c>
    </row>
    <row r="5312" spans="1:3" x14ac:dyDescent="0.35">
      <c r="A5312" t="s">
        <v>102</v>
      </c>
      <c r="B5312">
        <v>1991</v>
      </c>
      <c r="C5312">
        <v>913.21974190824858</v>
      </c>
    </row>
    <row r="5313" spans="1:3" x14ac:dyDescent="0.35">
      <c r="A5313" t="s">
        <v>102</v>
      </c>
      <c r="B5313">
        <v>1992</v>
      </c>
      <c r="C5313">
        <v>1078.843704066634</v>
      </c>
    </row>
    <row r="5314" spans="1:3" x14ac:dyDescent="0.35">
      <c r="A5314" t="s">
        <v>102</v>
      </c>
      <c r="B5314">
        <v>1993</v>
      </c>
      <c r="C5314">
        <v>1173.017500129057</v>
      </c>
    </row>
    <row r="5315" spans="1:3" x14ac:dyDescent="0.35">
      <c r="A5315" t="s">
        <v>102</v>
      </c>
      <c r="B5315">
        <v>1994</v>
      </c>
      <c r="C5315">
        <v>1392.1990218494011</v>
      </c>
    </row>
    <row r="5316" spans="1:3" x14ac:dyDescent="0.35">
      <c r="A5316" t="s">
        <v>102</v>
      </c>
      <c r="B5316">
        <v>1995</v>
      </c>
      <c r="C5316">
        <v>1700.4024966458612</v>
      </c>
    </row>
    <row r="5317" spans="1:3" x14ac:dyDescent="0.35">
      <c r="A5317" t="s">
        <v>102</v>
      </c>
      <c r="B5317">
        <v>1996</v>
      </c>
      <c r="C5317">
        <v>1879.3031762924309</v>
      </c>
    </row>
    <row r="5318" spans="1:3" x14ac:dyDescent="0.35">
      <c r="A5318" t="s">
        <v>102</v>
      </c>
      <c r="B5318">
        <v>1997</v>
      </c>
      <c r="C5318">
        <v>1576.4471152704211</v>
      </c>
    </row>
    <row r="5319" spans="1:3" x14ac:dyDescent="0.35">
      <c r="A5319" t="s">
        <v>102</v>
      </c>
      <c r="B5319">
        <v>1998</v>
      </c>
      <c r="C5319">
        <v>1225.5612805094258</v>
      </c>
    </row>
    <row r="5320" spans="1:3" x14ac:dyDescent="0.35">
      <c r="A5320" t="s">
        <v>102</v>
      </c>
      <c r="B5320">
        <v>1999</v>
      </c>
      <c r="C5320">
        <v>1341.0166543017217</v>
      </c>
    </row>
    <row r="5321" spans="1:3" x14ac:dyDescent="0.35">
      <c r="A5321" t="s">
        <v>102</v>
      </c>
      <c r="B5321">
        <v>2000</v>
      </c>
      <c r="C5321">
        <v>1303.0776854791445</v>
      </c>
    </row>
    <row r="5322" spans="1:3" x14ac:dyDescent="0.35">
      <c r="A5322" t="s">
        <v>102</v>
      </c>
      <c r="B5322">
        <v>2001</v>
      </c>
      <c r="C5322">
        <v>1122.1039915595595</v>
      </c>
    </row>
    <row r="5323" spans="1:3" x14ac:dyDescent="0.35">
      <c r="A5323" t="s">
        <v>102</v>
      </c>
      <c r="B5323">
        <v>2002</v>
      </c>
      <c r="C5323">
        <v>1199.1217666984476</v>
      </c>
    </row>
    <row r="5324" spans="1:3" x14ac:dyDescent="0.35">
      <c r="A5324" t="s">
        <v>102</v>
      </c>
      <c r="B5324">
        <v>2003</v>
      </c>
      <c r="C5324">
        <v>1301.2860840576127</v>
      </c>
    </row>
    <row r="5325" spans="1:3" x14ac:dyDescent="0.35">
      <c r="A5325" t="s">
        <v>102</v>
      </c>
      <c r="B5325">
        <v>2004</v>
      </c>
      <c r="C5325">
        <v>1243.2213476469442</v>
      </c>
    </row>
    <row r="5326" spans="1:3" x14ac:dyDescent="0.35">
      <c r="A5326" t="s">
        <v>102</v>
      </c>
      <c r="B5326">
        <v>2005</v>
      </c>
      <c r="C5326">
        <v>1372.7024353051165</v>
      </c>
    </row>
    <row r="5327" spans="1:3" x14ac:dyDescent="0.35">
      <c r="A5327" t="s">
        <v>102</v>
      </c>
      <c r="B5327">
        <v>2006</v>
      </c>
      <c r="C5327">
        <v>1607.2712674634554</v>
      </c>
    </row>
    <row r="5328" spans="1:3" x14ac:dyDescent="0.35">
      <c r="A5328" t="s">
        <v>102</v>
      </c>
      <c r="B5328">
        <v>2007</v>
      </c>
      <c r="C5328">
        <v>2014.3710291147688</v>
      </c>
    </row>
    <row r="5329" spans="1:3" x14ac:dyDescent="0.35">
      <c r="A5329" t="s">
        <v>102</v>
      </c>
      <c r="B5329">
        <v>2008</v>
      </c>
      <c r="C5329">
        <v>2270.9049190831911</v>
      </c>
    </row>
    <row r="5330" spans="1:3" x14ac:dyDescent="0.35">
      <c r="A5330" t="s">
        <v>102</v>
      </c>
      <c r="B5330">
        <v>2009</v>
      </c>
      <c r="C5330">
        <v>2115.7851244869412</v>
      </c>
    </row>
    <row r="5331" spans="1:3" x14ac:dyDescent="0.35">
      <c r="A5331" t="s">
        <v>102</v>
      </c>
      <c r="B5331">
        <v>2010</v>
      </c>
      <c r="C5331">
        <v>2438.1895689840544</v>
      </c>
    </row>
    <row r="5332" spans="1:3" x14ac:dyDescent="0.35">
      <c r="A5332" t="s">
        <v>102</v>
      </c>
      <c r="B5332">
        <v>2011</v>
      </c>
      <c r="C5332">
        <v>2701.4921582615884</v>
      </c>
    </row>
    <row r="5333" spans="1:3" x14ac:dyDescent="0.35">
      <c r="A5333" t="s">
        <v>102</v>
      </c>
      <c r="B5333">
        <v>2012</v>
      </c>
      <c r="C5333">
        <v>2898.6852574546278</v>
      </c>
    </row>
    <row r="5334" spans="1:3" x14ac:dyDescent="0.35">
      <c r="A5334" t="s">
        <v>102</v>
      </c>
      <c r="B5334">
        <v>2013</v>
      </c>
      <c r="C5334">
        <v>3377.0278611512927</v>
      </c>
    </row>
    <row r="5335" spans="1:3" x14ac:dyDescent="0.35">
      <c r="A5335" t="s">
        <v>102</v>
      </c>
      <c r="B5335">
        <v>2014</v>
      </c>
      <c r="C5335">
        <v>3103.131460158857</v>
      </c>
    </row>
    <row r="5336" spans="1:3" x14ac:dyDescent="0.35">
      <c r="A5336" t="s">
        <v>102</v>
      </c>
      <c r="B5336">
        <v>2015</v>
      </c>
      <c r="C5336">
        <v>3335.5500490295681</v>
      </c>
    </row>
    <row r="5337" spans="1:3" x14ac:dyDescent="0.35">
      <c r="A5337" t="s">
        <v>102</v>
      </c>
      <c r="B5337">
        <v>2016</v>
      </c>
      <c r="C5337">
        <v>3331.5166269616293</v>
      </c>
    </row>
    <row r="5338" spans="1:3" x14ac:dyDescent="0.35">
      <c r="A5338" t="s">
        <v>102</v>
      </c>
      <c r="B5338">
        <v>2017</v>
      </c>
      <c r="C5338">
        <v>3836.5263673277982</v>
      </c>
    </row>
    <row r="5339" spans="1:3" x14ac:dyDescent="0.35">
      <c r="A5339" t="s">
        <v>102</v>
      </c>
      <c r="B5339">
        <v>2018</v>
      </c>
      <c r="C5339">
        <v>4107.4653724571099</v>
      </c>
    </row>
    <row r="5340" spans="1:3" x14ac:dyDescent="0.35">
      <c r="A5340" t="s">
        <v>102</v>
      </c>
      <c r="B5340">
        <v>2019</v>
      </c>
      <c r="C5340">
        <v>4263.1212175072933</v>
      </c>
    </row>
    <row r="5341" spans="1:3" x14ac:dyDescent="0.35">
      <c r="A5341" t="s">
        <v>102</v>
      </c>
      <c r="B5341">
        <v>2020</v>
      </c>
      <c r="C5341">
        <v>4692.7807004815741</v>
      </c>
    </row>
    <row r="5342" spans="1:3" x14ac:dyDescent="0.35">
      <c r="A5342" t="s">
        <v>102</v>
      </c>
      <c r="B5342">
        <v>2021</v>
      </c>
      <c r="C5342">
        <v>5544.1098413458622</v>
      </c>
    </row>
    <row r="5343" spans="1:3" x14ac:dyDescent="0.35">
      <c r="A5343" t="s">
        <v>102</v>
      </c>
      <c r="B5343">
        <v>2022</v>
      </c>
      <c r="C5343">
        <v>5322.5089005356858</v>
      </c>
    </row>
    <row r="5344" spans="1:3" x14ac:dyDescent="0.35">
      <c r="A5344" t="s">
        <v>102</v>
      </c>
      <c r="B5344">
        <v>2023</v>
      </c>
      <c r="C5344">
        <v>5142.1644840301487</v>
      </c>
    </row>
    <row r="5345" spans="1:3" x14ac:dyDescent="0.35">
      <c r="A5345" t="s">
        <v>102</v>
      </c>
      <c r="B5345">
        <v>2024</v>
      </c>
      <c r="C5345">
        <v>5493.4229607883972</v>
      </c>
    </row>
    <row r="5346" spans="1:3" x14ac:dyDescent="0.35">
      <c r="A5346" t="s">
        <v>102</v>
      </c>
      <c r="B5346">
        <v>2025</v>
      </c>
      <c r="C5346">
        <v>6378.7582296205455</v>
      </c>
    </row>
    <row r="5347" spans="1:3" x14ac:dyDescent="0.35">
      <c r="A5347" t="s">
        <v>103</v>
      </c>
      <c r="B5347">
        <v>1970</v>
      </c>
      <c r="C5347">
        <v>103.63515199822294</v>
      </c>
    </row>
    <row r="5348" spans="1:3" x14ac:dyDescent="0.35">
      <c r="A5348" t="s">
        <v>103</v>
      </c>
      <c r="B5348">
        <v>1971</v>
      </c>
      <c r="C5348">
        <v>128.08535745894383</v>
      </c>
    </row>
    <row r="5349" spans="1:3" x14ac:dyDescent="0.35">
      <c r="A5349" t="s">
        <v>103</v>
      </c>
      <c r="B5349">
        <v>1972</v>
      </c>
      <c r="C5349">
        <v>150.04444444444445</v>
      </c>
    </row>
    <row r="5350" spans="1:3" x14ac:dyDescent="0.35">
      <c r="A5350" t="s">
        <v>103</v>
      </c>
      <c r="B5350">
        <v>1973</v>
      </c>
      <c r="C5350">
        <v>198.89149782084098</v>
      </c>
    </row>
    <row r="5351" spans="1:3" x14ac:dyDescent="0.35">
      <c r="A5351" t="s">
        <v>103</v>
      </c>
      <c r="B5351">
        <v>1974</v>
      </c>
      <c r="C5351">
        <v>225.90454148149061</v>
      </c>
    </row>
    <row r="5352" spans="1:3" x14ac:dyDescent="0.35">
      <c r="A5352" t="s">
        <v>103</v>
      </c>
      <c r="B5352">
        <v>1975</v>
      </c>
      <c r="C5352">
        <v>269.15615906886518</v>
      </c>
    </row>
    <row r="5353" spans="1:3" x14ac:dyDescent="0.35">
      <c r="A5353" t="s">
        <v>103</v>
      </c>
      <c r="B5353">
        <v>1976</v>
      </c>
      <c r="C5353">
        <v>306.27236081656446</v>
      </c>
    </row>
    <row r="5354" spans="1:3" x14ac:dyDescent="0.35">
      <c r="A5354" t="s">
        <v>103</v>
      </c>
      <c r="B5354">
        <v>1977</v>
      </c>
      <c r="C5354">
        <v>380.52389931950478</v>
      </c>
    </row>
    <row r="5355" spans="1:3" x14ac:dyDescent="0.35">
      <c r="A5355" t="s">
        <v>103</v>
      </c>
      <c r="B5355">
        <v>1978</v>
      </c>
      <c r="C5355">
        <v>418.86175143578333</v>
      </c>
    </row>
    <row r="5356" spans="1:3" x14ac:dyDescent="0.35">
      <c r="A5356" t="s">
        <v>103</v>
      </c>
      <c r="B5356">
        <v>1979</v>
      </c>
      <c r="C5356">
        <v>452.16043705393275</v>
      </c>
    </row>
    <row r="5357" spans="1:3" x14ac:dyDescent="0.35">
      <c r="A5357" t="s">
        <v>103</v>
      </c>
      <c r="B5357">
        <v>1980</v>
      </c>
      <c r="C5357">
        <v>560.08051522270114</v>
      </c>
    </row>
    <row r="5358" spans="1:3" x14ac:dyDescent="0.35">
      <c r="A5358" t="s">
        <v>103</v>
      </c>
      <c r="B5358">
        <v>1981</v>
      </c>
      <c r="C5358">
        <v>681.00383870799783</v>
      </c>
    </row>
    <row r="5359" spans="1:3" x14ac:dyDescent="0.35">
      <c r="A5359" t="s">
        <v>103</v>
      </c>
      <c r="B5359">
        <v>1982</v>
      </c>
      <c r="C5359">
        <v>738.3108569078795</v>
      </c>
    </row>
    <row r="5360" spans="1:3" x14ac:dyDescent="0.35">
      <c r="A5360" t="s">
        <v>103</v>
      </c>
      <c r="B5360">
        <v>1983</v>
      </c>
      <c r="C5360">
        <v>732.94526868744242</v>
      </c>
    </row>
    <row r="5361" spans="1:3" x14ac:dyDescent="0.35">
      <c r="A5361" t="s">
        <v>103</v>
      </c>
      <c r="B5361">
        <v>1984</v>
      </c>
      <c r="C5361">
        <v>918.62471168451248</v>
      </c>
    </row>
    <row r="5362" spans="1:3" x14ac:dyDescent="0.35">
      <c r="A5362" t="s">
        <v>103</v>
      </c>
      <c r="B5362">
        <v>1985</v>
      </c>
      <c r="C5362">
        <v>1049.5875281230826</v>
      </c>
    </row>
    <row r="5363" spans="1:3" x14ac:dyDescent="0.35">
      <c r="A5363" t="s">
        <v>103</v>
      </c>
      <c r="B5363">
        <v>1986</v>
      </c>
      <c r="C5363">
        <v>1021.1626603962487</v>
      </c>
    </row>
    <row r="5364" spans="1:3" x14ac:dyDescent="0.35">
      <c r="A5364" t="s">
        <v>103</v>
      </c>
      <c r="B5364">
        <v>1987</v>
      </c>
      <c r="C5364">
        <v>1052.3604212765554</v>
      </c>
    </row>
    <row r="5365" spans="1:3" x14ac:dyDescent="0.35">
      <c r="A5365" t="s">
        <v>103</v>
      </c>
      <c r="B5365">
        <v>1988</v>
      </c>
      <c r="C5365">
        <v>1205.8864451754603</v>
      </c>
    </row>
    <row r="5366" spans="1:3" x14ac:dyDescent="0.35">
      <c r="A5366" t="s">
        <v>103</v>
      </c>
      <c r="B5366">
        <v>1989</v>
      </c>
      <c r="C5366">
        <v>1410.4529652456597</v>
      </c>
    </row>
    <row r="5367" spans="1:3" x14ac:dyDescent="0.35">
      <c r="A5367" t="s">
        <v>103</v>
      </c>
      <c r="B5367">
        <v>1990</v>
      </c>
      <c r="C5367">
        <v>1801.9012099110084</v>
      </c>
    </row>
    <row r="5368" spans="1:3" x14ac:dyDescent="0.35">
      <c r="A5368" t="s">
        <v>103</v>
      </c>
      <c r="B5368">
        <v>1991</v>
      </c>
      <c r="C5368">
        <v>2022.806865213742</v>
      </c>
    </row>
    <row r="5369" spans="1:3" x14ac:dyDescent="0.35">
      <c r="A5369" t="s">
        <v>103</v>
      </c>
      <c r="B5369">
        <v>1992</v>
      </c>
      <c r="C5369">
        <v>2332.1485355776963</v>
      </c>
    </row>
    <row r="5370" spans="1:3" x14ac:dyDescent="0.35">
      <c r="A5370" t="s">
        <v>103</v>
      </c>
      <c r="B5370">
        <v>1993</v>
      </c>
      <c r="C5370">
        <v>2481.4487031111717</v>
      </c>
    </row>
    <row r="5371" spans="1:3" x14ac:dyDescent="0.35">
      <c r="A5371" t="s">
        <v>103</v>
      </c>
      <c r="B5371">
        <v>1994</v>
      </c>
      <c r="C5371">
        <v>2797.1638820510134</v>
      </c>
    </row>
    <row r="5372" spans="1:3" x14ac:dyDescent="0.35">
      <c r="A5372" t="s">
        <v>103</v>
      </c>
      <c r="B5372">
        <v>1995</v>
      </c>
      <c r="C5372">
        <v>3672.7976971595476</v>
      </c>
    </row>
    <row r="5373" spans="1:3" x14ac:dyDescent="0.35">
      <c r="A5373" t="s">
        <v>103</v>
      </c>
      <c r="B5373">
        <v>1996</v>
      </c>
      <c r="C5373">
        <v>4100.2382911123086</v>
      </c>
    </row>
    <row r="5374" spans="1:3" x14ac:dyDescent="0.35">
      <c r="A5374" t="s">
        <v>103</v>
      </c>
      <c r="B5374">
        <v>1997</v>
      </c>
      <c r="C5374">
        <v>4457.304301560469</v>
      </c>
    </row>
    <row r="5375" spans="1:3" x14ac:dyDescent="0.35">
      <c r="A5375" t="s">
        <v>103</v>
      </c>
      <c r="B5375">
        <v>1998</v>
      </c>
      <c r="C5375">
        <v>4466.2703154875717</v>
      </c>
    </row>
    <row r="5376" spans="1:3" x14ac:dyDescent="0.35">
      <c r="A5376" t="s">
        <v>103</v>
      </c>
      <c r="B5376">
        <v>1999</v>
      </c>
      <c r="C5376">
        <v>4493.1738802095624</v>
      </c>
    </row>
    <row r="5377" spans="1:3" x14ac:dyDescent="0.35">
      <c r="A5377" t="s">
        <v>103</v>
      </c>
      <c r="B5377">
        <v>2000</v>
      </c>
      <c r="C5377">
        <v>4330.7269310192814</v>
      </c>
    </row>
    <row r="5378" spans="1:3" x14ac:dyDescent="0.35">
      <c r="A5378" t="s">
        <v>103</v>
      </c>
      <c r="B5378">
        <v>2001</v>
      </c>
      <c r="C5378">
        <v>4309.1275422499057</v>
      </c>
    </row>
    <row r="5379" spans="1:3" x14ac:dyDescent="0.35">
      <c r="A5379" t="s">
        <v>103</v>
      </c>
      <c r="B5379">
        <v>2002</v>
      </c>
      <c r="C5379">
        <v>4528.1164308970783</v>
      </c>
    </row>
    <row r="5380" spans="1:3" x14ac:dyDescent="0.35">
      <c r="A5380" t="s">
        <v>103</v>
      </c>
      <c r="B5380">
        <v>2003</v>
      </c>
      <c r="C5380">
        <v>4723.6795279477437</v>
      </c>
    </row>
    <row r="5381" spans="1:3" x14ac:dyDescent="0.35">
      <c r="A5381" t="s">
        <v>103</v>
      </c>
      <c r="B5381">
        <v>2004</v>
      </c>
      <c r="C5381">
        <v>5043.3964608366905</v>
      </c>
    </row>
    <row r="5382" spans="1:3" x14ac:dyDescent="0.35">
      <c r="A5382" t="s">
        <v>103</v>
      </c>
      <c r="B5382">
        <v>2005</v>
      </c>
      <c r="C5382">
        <v>5463.8308099014657</v>
      </c>
    </row>
    <row r="5383" spans="1:3" x14ac:dyDescent="0.35">
      <c r="A5383" t="s">
        <v>103</v>
      </c>
      <c r="B5383">
        <v>2006</v>
      </c>
      <c r="C5383">
        <v>5830.5274618768608</v>
      </c>
    </row>
    <row r="5384" spans="1:3" x14ac:dyDescent="0.35">
      <c r="A5384" t="s">
        <v>103</v>
      </c>
      <c r="B5384">
        <v>2007</v>
      </c>
      <c r="C5384">
        <v>6518.5289629088975</v>
      </c>
    </row>
    <row r="5385" spans="1:3" x14ac:dyDescent="0.35">
      <c r="A5385" t="s">
        <v>103</v>
      </c>
      <c r="B5385">
        <v>2008</v>
      </c>
      <c r="C5385">
        <v>7454.32410273808</v>
      </c>
    </row>
    <row r="5386" spans="1:3" x14ac:dyDescent="0.35">
      <c r="A5386" t="s">
        <v>103</v>
      </c>
      <c r="B5386">
        <v>2009</v>
      </c>
      <c r="C5386">
        <v>7537.7618579452874</v>
      </c>
    </row>
    <row r="5387" spans="1:3" x14ac:dyDescent="0.35">
      <c r="A5387" t="s">
        <v>103</v>
      </c>
      <c r="B5387">
        <v>2010</v>
      </c>
      <c r="C5387">
        <v>8108.8514202316082</v>
      </c>
    </row>
    <row r="5388" spans="1:3" x14ac:dyDescent="0.35">
      <c r="A5388" t="s">
        <v>103</v>
      </c>
      <c r="B5388">
        <v>2011</v>
      </c>
      <c r="C5388">
        <v>8922.2678051805578</v>
      </c>
    </row>
    <row r="5389" spans="1:3" x14ac:dyDescent="0.35">
      <c r="A5389" t="s">
        <v>103</v>
      </c>
      <c r="B5389">
        <v>2012</v>
      </c>
      <c r="C5389">
        <v>9171.9480186927849</v>
      </c>
    </row>
    <row r="5390" spans="1:3" x14ac:dyDescent="0.35">
      <c r="A5390" t="s">
        <v>103</v>
      </c>
      <c r="B5390">
        <v>2013</v>
      </c>
      <c r="C5390">
        <v>9345.6804922880183</v>
      </c>
    </row>
    <row r="5391" spans="1:3" x14ac:dyDescent="0.35">
      <c r="A5391" t="s">
        <v>103</v>
      </c>
      <c r="B5391">
        <v>2014</v>
      </c>
      <c r="C5391">
        <v>9596.6023440274657</v>
      </c>
    </row>
    <row r="5392" spans="1:3" x14ac:dyDescent="0.35">
      <c r="A5392" t="s">
        <v>103</v>
      </c>
      <c r="B5392">
        <v>2015</v>
      </c>
      <c r="C5392">
        <v>9383.8306693579179</v>
      </c>
    </row>
    <row r="5393" spans="1:3" x14ac:dyDescent="0.35">
      <c r="A5393" t="s">
        <v>103</v>
      </c>
      <c r="B5393">
        <v>2016</v>
      </c>
      <c r="C5393">
        <v>9875.7091033038996</v>
      </c>
    </row>
    <row r="5394" spans="1:3" x14ac:dyDescent="0.35">
      <c r="A5394" t="s">
        <v>103</v>
      </c>
      <c r="B5394">
        <v>2017</v>
      </c>
      <c r="C5394">
        <v>10201.640204935098</v>
      </c>
    </row>
    <row r="5395" spans="1:3" x14ac:dyDescent="0.35">
      <c r="A5395" t="s">
        <v>103</v>
      </c>
      <c r="B5395">
        <v>2018</v>
      </c>
      <c r="C5395">
        <v>10582.246495449852</v>
      </c>
    </row>
    <row r="5396" spans="1:3" x14ac:dyDescent="0.35">
      <c r="A5396" t="s">
        <v>103</v>
      </c>
      <c r="B5396">
        <v>2019</v>
      </c>
      <c r="C5396">
        <v>10401.37691739109</v>
      </c>
    </row>
    <row r="5397" spans="1:3" x14ac:dyDescent="0.35">
      <c r="A5397" t="s">
        <v>103</v>
      </c>
      <c r="B5397">
        <v>2020</v>
      </c>
      <c r="C5397">
        <v>9796.3809650357725</v>
      </c>
    </row>
    <row r="5398" spans="1:3" x14ac:dyDescent="0.35">
      <c r="A5398" t="s">
        <v>103</v>
      </c>
      <c r="B5398">
        <v>2021</v>
      </c>
      <c r="C5398">
        <v>11013.608902231788</v>
      </c>
    </row>
    <row r="5399" spans="1:3" x14ac:dyDescent="0.35">
      <c r="A5399" t="s">
        <v>103</v>
      </c>
      <c r="B5399">
        <v>2022</v>
      </c>
      <c r="C5399">
        <v>11995.013297872396</v>
      </c>
    </row>
    <row r="5400" spans="1:3" x14ac:dyDescent="0.35">
      <c r="A5400" t="s">
        <v>103</v>
      </c>
      <c r="B5400">
        <v>2023</v>
      </c>
      <c r="C5400">
        <v>13973.388277933689</v>
      </c>
    </row>
    <row r="5401" spans="1:3" x14ac:dyDescent="0.35">
      <c r="A5401" t="s">
        <v>103</v>
      </c>
      <c r="B5401">
        <v>2024</v>
      </c>
      <c r="C5401">
        <v>15325.841295183014</v>
      </c>
    </row>
    <row r="5402" spans="1:3" x14ac:dyDescent="0.35">
      <c r="A5402" t="s">
        <v>103</v>
      </c>
      <c r="B5402">
        <v>2025</v>
      </c>
      <c r="C5402">
        <v>17438.486492276381</v>
      </c>
    </row>
    <row r="5403" spans="1:3" x14ac:dyDescent="0.35">
      <c r="A5403" t="s">
        <v>104</v>
      </c>
      <c r="B5403">
        <v>1957</v>
      </c>
      <c r="C5403">
        <v>75.63818969547134</v>
      </c>
    </row>
    <row r="5404" spans="1:3" x14ac:dyDescent="0.35">
      <c r="A5404" t="s">
        <v>104</v>
      </c>
      <c r="B5404">
        <v>1958</v>
      </c>
      <c r="C5404">
        <v>70.182166369725323</v>
      </c>
    </row>
    <row r="5405" spans="1:3" x14ac:dyDescent="0.35">
      <c r="A5405" t="s">
        <v>104</v>
      </c>
      <c r="B5405">
        <v>1959</v>
      </c>
      <c r="C5405">
        <v>67.98503549817903</v>
      </c>
    </row>
    <row r="5406" spans="1:3" x14ac:dyDescent="0.35">
      <c r="A5406" t="s">
        <v>104</v>
      </c>
      <c r="B5406">
        <v>1960</v>
      </c>
      <c r="C5406">
        <v>62.82516122331436</v>
      </c>
    </row>
    <row r="5407" spans="1:3" x14ac:dyDescent="0.35">
      <c r="A5407" t="s">
        <v>104</v>
      </c>
      <c r="B5407">
        <v>1961</v>
      </c>
      <c r="C5407">
        <v>58.74140485506971</v>
      </c>
    </row>
    <row r="5408" spans="1:3" x14ac:dyDescent="0.35">
      <c r="A5408" t="s">
        <v>104</v>
      </c>
      <c r="B5408">
        <v>1962</v>
      </c>
      <c r="C5408">
        <v>80.303734177518308</v>
      </c>
    </row>
    <row r="5409" spans="1:3" x14ac:dyDescent="0.35">
      <c r="A5409" t="s">
        <v>104</v>
      </c>
      <c r="B5409">
        <v>1963</v>
      </c>
      <c r="C5409">
        <v>85.501269797072496</v>
      </c>
    </row>
    <row r="5410" spans="1:3" x14ac:dyDescent="0.35">
      <c r="A5410" t="s">
        <v>104</v>
      </c>
      <c r="B5410">
        <v>1964</v>
      </c>
      <c r="C5410">
        <v>87.23557692307692</v>
      </c>
    </row>
    <row r="5411" spans="1:3" x14ac:dyDescent="0.35">
      <c r="A5411" t="s">
        <v>104</v>
      </c>
      <c r="B5411">
        <v>1965</v>
      </c>
      <c r="C5411">
        <v>94.26682692307692</v>
      </c>
    </row>
    <row r="5412" spans="1:3" x14ac:dyDescent="0.35">
      <c r="A5412" t="s">
        <v>104</v>
      </c>
      <c r="B5412">
        <v>1966</v>
      </c>
      <c r="C5412">
        <v>105.54086538461537</v>
      </c>
    </row>
    <row r="5413" spans="1:3" x14ac:dyDescent="0.35">
      <c r="A5413" t="s">
        <v>104</v>
      </c>
      <c r="B5413">
        <v>1967</v>
      </c>
      <c r="C5413">
        <v>126.34615384615384</v>
      </c>
    </row>
    <row r="5414" spans="1:3" x14ac:dyDescent="0.35">
      <c r="A5414" t="s">
        <v>104</v>
      </c>
      <c r="B5414">
        <v>1968</v>
      </c>
      <c r="C5414">
        <v>154.63942307692307</v>
      </c>
    </row>
    <row r="5415" spans="1:3" x14ac:dyDescent="0.35">
      <c r="A5415" t="s">
        <v>104</v>
      </c>
      <c r="B5415">
        <v>1969</v>
      </c>
      <c r="C5415">
        <v>184.90384615384613</v>
      </c>
    </row>
    <row r="5416" spans="1:3" x14ac:dyDescent="0.35">
      <c r="A5416" t="s">
        <v>104</v>
      </c>
      <c r="B5416">
        <v>1970</v>
      </c>
      <c r="C5416">
        <v>217.22355769230768</v>
      </c>
    </row>
    <row r="5417" spans="1:3" x14ac:dyDescent="0.35">
      <c r="A5417" t="s">
        <v>104</v>
      </c>
      <c r="B5417">
        <v>1971</v>
      </c>
      <c r="C5417">
        <v>262.65625</v>
      </c>
    </row>
    <row r="5418" spans="1:3" x14ac:dyDescent="0.35">
      <c r="A5418" t="s">
        <v>104</v>
      </c>
      <c r="B5418">
        <v>1972</v>
      </c>
      <c r="C5418">
        <v>284.08653846153845</v>
      </c>
    </row>
    <row r="5419" spans="1:3" x14ac:dyDescent="0.35">
      <c r="A5419" t="s">
        <v>104</v>
      </c>
      <c r="B5419">
        <v>1973</v>
      </c>
      <c r="C5419">
        <v>312.40849909231105</v>
      </c>
    </row>
    <row r="5420" spans="1:3" x14ac:dyDescent="0.35">
      <c r="A5420" t="s">
        <v>104</v>
      </c>
      <c r="B5420">
        <v>1974</v>
      </c>
      <c r="C5420">
        <v>363.88778459983018</v>
      </c>
    </row>
    <row r="5421" spans="1:3" x14ac:dyDescent="0.35">
      <c r="A5421" t="s">
        <v>104</v>
      </c>
      <c r="B5421">
        <v>1975</v>
      </c>
      <c r="C5421">
        <v>416.03489815646265</v>
      </c>
    </row>
    <row r="5422" spans="1:3" x14ac:dyDescent="0.35">
      <c r="A5422" t="s">
        <v>104</v>
      </c>
      <c r="B5422">
        <v>1976</v>
      </c>
      <c r="C5422">
        <v>531.9091573080525</v>
      </c>
    </row>
    <row r="5423" spans="1:3" x14ac:dyDescent="0.35">
      <c r="A5423" t="s">
        <v>104</v>
      </c>
      <c r="B5423">
        <v>1977</v>
      </c>
      <c r="C5423">
        <v>688.7221141072838</v>
      </c>
    </row>
    <row r="5424" spans="1:3" x14ac:dyDescent="0.35">
      <c r="A5424" t="s">
        <v>104</v>
      </c>
      <c r="B5424">
        <v>1978</v>
      </c>
      <c r="C5424">
        <v>942.00707116900492</v>
      </c>
    </row>
    <row r="5425" spans="1:3" x14ac:dyDescent="0.35">
      <c r="A5425" t="s">
        <v>104</v>
      </c>
      <c r="B5425">
        <v>1979</v>
      </c>
      <c r="C5425">
        <v>1199.0484306206506</v>
      </c>
    </row>
    <row r="5426" spans="1:3" x14ac:dyDescent="0.35">
      <c r="A5426" t="s">
        <v>104</v>
      </c>
      <c r="B5426">
        <v>1980</v>
      </c>
      <c r="C5426">
        <v>1373.2272274423237</v>
      </c>
    </row>
    <row r="5427" spans="1:3" x14ac:dyDescent="0.35">
      <c r="A5427" t="s">
        <v>104</v>
      </c>
      <c r="B5427">
        <v>1981</v>
      </c>
      <c r="C5427">
        <v>1415.8539715128964</v>
      </c>
    </row>
    <row r="5428" spans="1:3" x14ac:dyDescent="0.35">
      <c r="A5428" t="s">
        <v>104</v>
      </c>
      <c r="B5428">
        <v>1982</v>
      </c>
      <c r="C5428">
        <v>1507.634749414133</v>
      </c>
    </row>
    <row r="5429" spans="1:3" x14ac:dyDescent="0.35">
      <c r="A5429" t="s">
        <v>104</v>
      </c>
      <c r="B5429">
        <v>1983</v>
      </c>
      <c r="C5429">
        <v>1583.036595493063</v>
      </c>
    </row>
    <row r="5430" spans="1:3" x14ac:dyDescent="0.35">
      <c r="A5430" t="s">
        <v>104</v>
      </c>
      <c r="B5430">
        <v>1984</v>
      </c>
      <c r="C5430">
        <v>1698.8375339475622</v>
      </c>
    </row>
    <row r="5431" spans="1:3" x14ac:dyDescent="0.35">
      <c r="A5431" t="s">
        <v>104</v>
      </c>
      <c r="B5431">
        <v>1985</v>
      </c>
      <c r="C5431">
        <v>1629.5947184900715</v>
      </c>
    </row>
    <row r="5432" spans="1:3" x14ac:dyDescent="0.35">
      <c r="A5432" t="s">
        <v>104</v>
      </c>
      <c r="B5432">
        <v>1986</v>
      </c>
      <c r="C5432">
        <v>1635.6672712546913</v>
      </c>
    </row>
    <row r="5433" spans="1:3" x14ac:dyDescent="0.35">
      <c r="A5433" t="s">
        <v>104</v>
      </c>
      <c r="B5433">
        <v>1987</v>
      </c>
      <c r="C5433">
        <v>1698.6875456793196</v>
      </c>
    </row>
    <row r="5434" spans="1:3" x14ac:dyDescent="0.35">
      <c r="A5434" t="s">
        <v>104</v>
      </c>
      <c r="B5434">
        <v>1988</v>
      </c>
      <c r="C5434">
        <v>1809.0033565405097</v>
      </c>
    </row>
    <row r="5435" spans="1:3" x14ac:dyDescent="0.35">
      <c r="A5435" t="s">
        <v>104</v>
      </c>
      <c r="B5435">
        <v>1989</v>
      </c>
      <c r="C5435">
        <v>1939.6934090732238</v>
      </c>
    </row>
    <row r="5436" spans="1:3" x14ac:dyDescent="0.35">
      <c r="A5436" t="s">
        <v>104</v>
      </c>
      <c r="B5436">
        <v>1990</v>
      </c>
      <c r="C5436">
        <v>2214.0177053409157</v>
      </c>
    </row>
    <row r="5437" spans="1:3" x14ac:dyDescent="0.35">
      <c r="A5437" t="s">
        <v>104</v>
      </c>
      <c r="B5437">
        <v>1991</v>
      </c>
      <c r="C5437">
        <v>2598.337173940306</v>
      </c>
    </row>
    <row r="5438" spans="1:3" x14ac:dyDescent="0.35">
      <c r="A5438" t="s">
        <v>104</v>
      </c>
      <c r="B5438">
        <v>1992</v>
      </c>
      <c r="C5438">
        <v>2961.7698355518287</v>
      </c>
    </row>
    <row r="5439" spans="1:3" x14ac:dyDescent="0.35">
      <c r="A5439" t="s">
        <v>104</v>
      </c>
      <c r="B5439">
        <v>1993</v>
      </c>
      <c r="C5439">
        <v>3156.2998625570704</v>
      </c>
    </row>
    <row r="5440" spans="1:3" x14ac:dyDescent="0.35">
      <c r="A5440" t="s">
        <v>104</v>
      </c>
      <c r="B5440">
        <v>1994</v>
      </c>
      <c r="C5440">
        <v>3611.1332007952287</v>
      </c>
    </row>
    <row r="5441" spans="1:3" x14ac:dyDescent="0.35">
      <c r="A5441" t="s">
        <v>104</v>
      </c>
      <c r="B5441">
        <v>1995</v>
      </c>
      <c r="C5441">
        <v>3849.0258958386848</v>
      </c>
    </row>
    <row r="5442" spans="1:3" x14ac:dyDescent="0.35">
      <c r="A5442" t="s">
        <v>104</v>
      </c>
      <c r="B5442">
        <v>1996</v>
      </c>
      <c r="C5442">
        <v>3938.0472483200288</v>
      </c>
    </row>
    <row r="5443" spans="1:3" x14ac:dyDescent="0.35">
      <c r="A5443" t="s">
        <v>104</v>
      </c>
      <c r="B5443">
        <v>1997</v>
      </c>
      <c r="C5443">
        <v>3264.8026577988348</v>
      </c>
    </row>
    <row r="5444" spans="1:3" x14ac:dyDescent="0.35">
      <c r="A5444" t="s">
        <v>104</v>
      </c>
      <c r="B5444">
        <v>1998</v>
      </c>
      <c r="C5444">
        <v>2110.2397520273503</v>
      </c>
    </row>
    <row r="5445" spans="1:3" x14ac:dyDescent="0.35">
      <c r="A5445" t="s">
        <v>104</v>
      </c>
      <c r="B5445">
        <v>1999</v>
      </c>
      <c r="C5445">
        <v>2056.8471215458949</v>
      </c>
    </row>
    <row r="5446" spans="1:3" x14ac:dyDescent="0.35">
      <c r="A5446" t="s">
        <v>104</v>
      </c>
      <c r="B5446">
        <v>2000</v>
      </c>
      <c r="C5446">
        <v>1880.8586251427259</v>
      </c>
    </row>
    <row r="5447" spans="1:3" x14ac:dyDescent="0.35">
      <c r="A5447" t="s">
        <v>104</v>
      </c>
      <c r="B5447">
        <v>2001</v>
      </c>
      <c r="C5447">
        <v>1720.105374742021</v>
      </c>
    </row>
    <row r="5448" spans="1:3" x14ac:dyDescent="0.35">
      <c r="A5448" t="s">
        <v>104</v>
      </c>
      <c r="B5448">
        <v>2002</v>
      </c>
      <c r="C5448">
        <v>1783.8907497887576</v>
      </c>
    </row>
    <row r="5449" spans="1:3" x14ac:dyDescent="0.35">
      <c r="A5449" t="s">
        <v>104</v>
      </c>
      <c r="B5449">
        <v>2003</v>
      </c>
      <c r="C5449">
        <v>1877.4768227245772</v>
      </c>
    </row>
    <row r="5450" spans="1:3" x14ac:dyDescent="0.35">
      <c r="A5450" t="s">
        <v>104</v>
      </c>
      <c r="B5450">
        <v>2004</v>
      </c>
      <c r="C5450">
        <v>1950.8774961215643</v>
      </c>
    </row>
    <row r="5451" spans="1:3" x14ac:dyDescent="0.35">
      <c r="A5451" t="s">
        <v>104</v>
      </c>
      <c r="B5451">
        <v>2005</v>
      </c>
      <c r="C5451">
        <v>1867.0440898953507</v>
      </c>
    </row>
    <row r="5452" spans="1:3" x14ac:dyDescent="0.35">
      <c r="A5452" t="s">
        <v>104</v>
      </c>
      <c r="B5452">
        <v>2006</v>
      </c>
      <c r="C5452">
        <v>2106.9769283564756</v>
      </c>
    </row>
    <row r="5453" spans="1:3" x14ac:dyDescent="0.35">
      <c r="A5453" t="s">
        <v>104</v>
      </c>
      <c r="B5453">
        <v>2007</v>
      </c>
      <c r="C5453">
        <v>2679.8819173653319</v>
      </c>
    </row>
    <row r="5454" spans="1:3" x14ac:dyDescent="0.35">
      <c r="A5454" t="s">
        <v>104</v>
      </c>
      <c r="B5454">
        <v>2008</v>
      </c>
      <c r="C5454">
        <v>3650.043676249426</v>
      </c>
    </row>
    <row r="5455" spans="1:3" x14ac:dyDescent="0.35">
      <c r="A5455" t="s">
        <v>104</v>
      </c>
      <c r="B5455">
        <v>2009</v>
      </c>
      <c r="C5455">
        <v>4339.3183183708707</v>
      </c>
    </row>
    <row r="5456" spans="1:3" x14ac:dyDescent="0.35">
      <c r="A5456" t="s">
        <v>104</v>
      </c>
      <c r="B5456">
        <v>2010</v>
      </c>
      <c r="C5456">
        <v>5193.5100060910763</v>
      </c>
    </row>
    <row r="5457" spans="1:3" x14ac:dyDescent="0.35">
      <c r="A5457" t="s">
        <v>104</v>
      </c>
      <c r="B5457">
        <v>2011</v>
      </c>
      <c r="C5457">
        <v>5156.7393749774519</v>
      </c>
    </row>
    <row r="5458" spans="1:3" x14ac:dyDescent="0.35">
      <c r="A5458" t="s">
        <v>104</v>
      </c>
      <c r="B5458">
        <v>2012</v>
      </c>
      <c r="C5458">
        <v>5408.0915352715774</v>
      </c>
    </row>
    <row r="5459" spans="1:3" x14ac:dyDescent="0.35">
      <c r="A5459" t="s">
        <v>104</v>
      </c>
      <c r="B5459">
        <v>2013</v>
      </c>
      <c r="C5459">
        <v>5555.7426934843452</v>
      </c>
    </row>
    <row r="5460" spans="1:3" x14ac:dyDescent="0.35">
      <c r="A5460" t="s">
        <v>104</v>
      </c>
      <c r="B5460">
        <v>2014</v>
      </c>
      <c r="C5460">
        <v>5582.6410234042714</v>
      </c>
    </row>
    <row r="5461" spans="1:3" x14ac:dyDescent="0.35">
      <c r="A5461" t="s">
        <v>104</v>
      </c>
      <c r="B5461">
        <v>2015</v>
      </c>
      <c r="C5461">
        <v>5434.0046027399349</v>
      </c>
    </row>
    <row r="5462" spans="1:3" x14ac:dyDescent="0.35">
      <c r="A5462" t="s">
        <v>104</v>
      </c>
      <c r="B5462">
        <v>2016</v>
      </c>
      <c r="C5462">
        <v>5562.5175006126738</v>
      </c>
    </row>
    <row r="5463" spans="1:3" x14ac:dyDescent="0.35">
      <c r="A5463" t="s">
        <v>104</v>
      </c>
      <c r="B5463">
        <v>2017</v>
      </c>
      <c r="C5463">
        <v>6135.8620898679656</v>
      </c>
    </row>
    <row r="5464" spans="1:3" x14ac:dyDescent="0.35">
      <c r="A5464" t="s">
        <v>104</v>
      </c>
      <c r="B5464">
        <v>2018</v>
      </c>
      <c r="C5464">
        <v>6662.1632950263265</v>
      </c>
    </row>
    <row r="5465" spans="1:3" x14ac:dyDescent="0.35">
      <c r="A5465" t="s">
        <v>104</v>
      </c>
      <c r="B5465">
        <v>2019</v>
      </c>
      <c r="C5465">
        <v>7155.9382572160976</v>
      </c>
    </row>
    <row r="5466" spans="1:3" x14ac:dyDescent="0.35">
      <c r="A5466" t="s">
        <v>104</v>
      </c>
      <c r="B5466">
        <v>2020</v>
      </c>
      <c r="C5466">
        <v>7294.8131862181181</v>
      </c>
    </row>
    <row r="5467" spans="1:3" x14ac:dyDescent="0.35">
      <c r="A5467" t="s">
        <v>104</v>
      </c>
      <c r="B5467">
        <v>2021</v>
      </c>
      <c r="C5467">
        <v>7112.6383144908668</v>
      </c>
    </row>
    <row r="5468" spans="1:3" x14ac:dyDescent="0.35">
      <c r="A5468" t="s">
        <v>104</v>
      </c>
      <c r="B5468">
        <v>2022</v>
      </c>
      <c r="C5468">
        <v>6026.9997791683309</v>
      </c>
    </row>
    <row r="5469" spans="1:3" x14ac:dyDescent="0.35">
      <c r="A5469" t="s">
        <v>104</v>
      </c>
      <c r="B5469">
        <v>2023</v>
      </c>
      <c r="C5469">
        <v>5743.1517427630988</v>
      </c>
    </row>
    <row r="5470" spans="1:3" x14ac:dyDescent="0.35">
      <c r="A5470" t="s">
        <v>104</v>
      </c>
      <c r="B5470">
        <v>2024</v>
      </c>
      <c r="C5470">
        <v>5519.7143894716064</v>
      </c>
    </row>
    <row r="5471" spans="1:3" x14ac:dyDescent="0.35">
      <c r="A5471" t="s">
        <v>104</v>
      </c>
      <c r="B5471">
        <v>2025</v>
      </c>
      <c r="C5471">
        <v>5983.978404684055</v>
      </c>
    </row>
    <row r="5472" spans="1:3" x14ac:dyDescent="0.35">
      <c r="A5472" t="s">
        <v>105</v>
      </c>
      <c r="B5472">
        <v>2005</v>
      </c>
      <c r="C5472">
        <v>8.23</v>
      </c>
    </row>
    <row r="5473" spans="1:3" x14ac:dyDescent="0.35">
      <c r="A5473" t="s">
        <v>105</v>
      </c>
      <c r="B5473">
        <v>2006</v>
      </c>
      <c r="C5473">
        <v>17.105</v>
      </c>
    </row>
    <row r="5474" spans="1:3" x14ac:dyDescent="0.35">
      <c r="A5474" t="s">
        <v>105</v>
      </c>
      <c r="B5474">
        <v>2007</v>
      </c>
      <c r="C5474">
        <v>23.734999999999999</v>
      </c>
    </row>
    <row r="5475" spans="1:3" x14ac:dyDescent="0.35">
      <c r="A5475" t="s">
        <v>105</v>
      </c>
      <c r="B5475">
        <v>2008</v>
      </c>
      <c r="C5475">
        <v>23.651</v>
      </c>
    </row>
    <row r="5476" spans="1:3" x14ac:dyDescent="0.35">
      <c r="A5476" t="s">
        <v>105</v>
      </c>
      <c r="B5476">
        <v>2009</v>
      </c>
      <c r="C5476">
        <v>36.481000000000002</v>
      </c>
    </row>
    <row r="5477" spans="1:3" x14ac:dyDescent="0.35">
      <c r="A5477" t="s">
        <v>105</v>
      </c>
      <c r="B5477">
        <v>2010</v>
      </c>
      <c r="C5477">
        <v>26.388999999999999</v>
      </c>
    </row>
    <row r="5478" spans="1:3" x14ac:dyDescent="0.35">
      <c r="A5478" t="s">
        <v>105</v>
      </c>
      <c r="B5478">
        <v>2011</v>
      </c>
      <c r="C5478">
        <v>20.53</v>
      </c>
    </row>
    <row r="5479" spans="1:3" x14ac:dyDescent="0.35">
      <c r="A5479" t="s">
        <v>105</v>
      </c>
      <c r="B5479">
        <v>2012</v>
      </c>
      <c r="C5479">
        <v>33.387999999999998</v>
      </c>
    </row>
    <row r="5480" spans="1:3" x14ac:dyDescent="0.35">
      <c r="A5480" t="s">
        <v>105</v>
      </c>
      <c r="B5480">
        <v>2013</v>
      </c>
      <c r="C5480">
        <v>31.683</v>
      </c>
    </row>
    <row r="5481" spans="1:3" x14ac:dyDescent="0.35">
      <c r="A5481" t="s">
        <v>105</v>
      </c>
      <c r="B5481">
        <v>2014</v>
      </c>
      <c r="C5481">
        <v>29.623999999999999</v>
      </c>
    </row>
    <row r="5482" spans="1:3" x14ac:dyDescent="0.35">
      <c r="A5482" t="s">
        <v>105</v>
      </c>
      <c r="B5482">
        <v>2015</v>
      </c>
      <c r="C5482">
        <v>36.959000000000003</v>
      </c>
    </row>
    <row r="5483" spans="1:3" x14ac:dyDescent="0.35">
      <c r="A5483" t="s">
        <v>105</v>
      </c>
      <c r="B5483">
        <v>2016</v>
      </c>
      <c r="C5483">
        <v>26.216999999999999</v>
      </c>
    </row>
    <row r="5484" spans="1:3" x14ac:dyDescent="0.35">
      <c r="A5484" t="s">
        <v>105</v>
      </c>
      <c r="B5484">
        <v>2017</v>
      </c>
      <c r="C5484">
        <v>25.442</v>
      </c>
    </row>
    <row r="5485" spans="1:3" x14ac:dyDescent="0.35">
      <c r="A5485" t="s">
        <v>105</v>
      </c>
      <c r="B5485">
        <v>2018</v>
      </c>
      <c r="C5485">
        <v>20.61</v>
      </c>
    </row>
    <row r="5486" spans="1:3" x14ac:dyDescent="0.35">
      <c r="A5486" t="s">
        <v>105</v>
      </c>
      <c r="B5486">
        <v>2019</v>
      </c>
      <c r="C5486">
        <v>34.4</v>
      </c>
    </row>
    <row r="5487" spans="1:3" x14ac:dyDescent="0.35">
      <c r="A5487" t="s">
        <v>105</v>
      </c>
      <c r="B5487">
        <v>2020</v>
      </c>
      <c r="C5487">
        <v>38.456000000000003</v>
      </c>
    </row>
    <row r="5488" spans="1:3" x14ac:dyDescent="0.35">
      <c r="A5488" t="s">
        <v>105</v>
      </c>
      <c r="B5488">
        <v>2021</v>
      </c>
      <c r="C5488">
        <v>39.222000000000001</v>
      </c>
    </row>
    <row r="5489" spans="1:3" x14ac:dyDescent="0.35">
      <c r="A5489" t="s">
        <v>105</v>
      </c>
      <c r="B5489">
        <v>2022</v>
      </c>
      <c r="C5489">
        <v>44.311</v>
      </c>
    </row>
    <row r="5490" spans="1:3" x14ac:dyDescent="0.35">
      <c r="A5490" t="s">
        <v>105</v>
      </c>
      <c r="B5490">
        <v>2023</v>
      </c>
      <c r="C5490">
        <v>55.111000000000004</v>
      </c>
    </row>
    <row r="5491" spans="1:3" x14ac:dyDescent="0.35">
      <c r="A5491" t="s">
        <v>105</v>
      </c>
      <c r="B5491">
        <v>2024</v>
      </c>
      <c r="C5491">
        <v>43.423000000000002</v>
      </c>
    </row>
    <row r="5492" spans="1:3" x14ac:dyDescent="0.35">
      <c r="A5492" t="s">
        <v>105</v>
      </c>
      <c r="B5492">
        <v>2025</v>
      </c>
      <c r="C5492">
        <v>47.915999999999997</v>
      </c>
    </row>
    <row r="5493" spans="1:3" x14ac:dyDescent="0.35">
      <c r="A5493" t="s">
        <v>106</v>
      </c>
      <c r="B5493">
        <v>1987</v>
      </c>
      <c r="C5493">
        <v>1315.5978817596824</v>
      </c>
    </row>
    <row r="5494" spans="1:3" x14ac:dyDescent="0.35">
      <c r="A5494" t="s">
        <v>106</v>
      </c>
      <c r="B5494">
        <v>1988</v>
      </c>
      <c r="C5494">
        <v>1305.8145017954948</v>
      </c>
    </row>
    <row r="5495" spans="1:3" x14ac:dyDescent="0.35">
      <c r="A5495" t="s">
        <v>106</v>
      </c>
      <c r="B5495">
        <v>1989</v>
      </c>
      <c r="C5495">
        <v>458.56248389878925</v>
      </c>
    </row>
    <row r="5496" spans="1:3" x14ac:dyDescent="0.35">
      <c r="A5496" t="s">
        <v>106</v>
      </c>
      <c r="B5496">
        <v>1990</v>
      </c>
      <c r="C5496">
        <v>511.97013636083176</v>
      </c>
    </row>
    <row r="5497" spans="1:3" x14ac:dyDescent="0.35">
      <c r="A5497" t="s">
        <v>106</v>
      </c>
      <c r="B5497">
        <v>1991</v>
      </c>
      <c r="C5497">
        <v>427.61781408787488</v>
      </c>
    </row>
    <row r="5498" spans="1:3" x14ac:dyDescent="0.35">
      <c r="A5498" t="s">
        <v>106</v>
      </c>
      <c r="B5498">
        <v>1992</v>
      </c>
      <c r="C5498">
        <v>332.97030940350999</v>
      </c>
    </row>
    <row r="5499" spans="1:3" x14ac:dyDescent="0.35">
      <c r="A5499" t="s">
        <v>106</v>
      </c>
      <c r="B5499">
        <v>1993</v>
      </c>
      <c r="C5499">
        <v>297.71638003946998</v>
      </c>
    </row>
    <row r="5500" spans="1:3" x14ac:dyDescent="0.35">
      <c r="A5500" t="s">
        <v>106</v>
      </c>
      <c r="B5500">
        <v>1994</v>
      </c>
      <c r="C5500">
        <v>431.34501217432535</v>
      </c>
    </row>
    <row r="5501" spans="1:3" x14ac:dyDescent="0.35">
      <c r="A5501" t="s">
        <v>106</v>
      </c>
      <c r="B5501">
        <v>2003</v>
      </c>
      <c r="C5501">
        <v>841.93015938515498</v>
      </c>
    </row>
    <row r="5502" spans="1:3" x14ac:dyDescent="0.35">
      <c r="A5502" t="s">
        <v>106</v>
      </c>
      <c r="B5502">
        <v>2004</v>
      </c>
      <c r="C5502">
        <v>915.08954655150512</v>
      </c>
    </row>
    <row r="5503" spans="1:3" x14ac:dyDescent="0.35">
      <c r="A5503" t="s">
        <v>106</v>
      </c>
      <c r="B5503">
        <v>2005</v>
      </c>
      <c r="C5503">
        <v>1026.4268013544445</v>
      </c>
    </row>
    <row r="5504" spans="1:3" x14ac:dyDescent="0.35">
      <c r="A5504" t="s">
        <v>106</v>
      </c>
      <c r="B5504">
        <v>2006</v>
      </c>
      <c r="C5504">
        <v>1286.5288667141838</v>
      </c>
    </row>
    <row r="5505" spans="1:3" x14ac:dyDescent="0.35">
      <c r="A5505" t="s">
        <v>106</v>
      </c>
      <c r="B5505">
        <v>2007</v>
      </c>
      <c r="C5505">
        <v>1784.2174218104822</v>
      </c>
    </row>
    <row r="5506" spans="1:3" x14ac:dyDescent="0.35">
      <c r="A5506" t="s">
        <v>106</v>
      </c>
      <c r="B5506">
        <v>2008</v>
      </c>
      <c r="C5506">
        <v>2052.1770067843604</v>
      </c>
    </row>
    <row r="5507" spans="1:3" x14ac:dyDescent="0.35">
      <c r="A5507" t="s">
        <v>106</v>
      </c>
      <c r="B5507">
        <v>2009</v>
      </c>
      <c r="C5507">
        <v>2892.6288155358016</v>
      </c>
    </row>
    <row r="5508" spans="1:3" x14ac:dyDescent="0.35">
      <c r="A5508" t="s">
        <v>106</v>
      </c>
      <c r="B5508">
        <v>2010</v>
      </c>
      <c r="C5508">
        <v>2707.5307985322002</v>
      </c>
    </row>
    <row r="5509" spans="1:3" x14ac:dyDescent="0.35">
      <c r="A5509" t="s">
        <v>106</v>
      </c>
      <c r="B5509">
        <v>2011</v>
      </c>
      <c r="C5509">
        <v>3029.5273479019784</v>
      </c>
    </row>
    <row r="5510" spans="1:3" x14ac:dyDescent="0.35">
      <c r="A5510" t="s">
        <v>106</v>
      </c>
      <c r="B5510">
        <v>2012</v>
      </c>
      <c r="C5510">
        <v>4739.0531976185903</v>
      </c>
    </row>
    <row r="5511" spans="1:3" x14ac:dyDescent="0.35">
      <c r="A5511" t="s">
        <v>106</v>
      </c>
      <c r="B5511">
        <v>2013</v>
      </c>
      <c r="C5511">
        <v>5522.0365540237135</v>
      </c>
    </row>
    <row r="5512" spans="1:3" x14ac:dyDescent="0.35">
      <c r="A5512" t="s">
        <v>106</v>
      </c>
      <c r="B5512">
        <v>2014</v>
      </c>
      <c r="C5512">
        <v>5629.7049366370347</v>
      </c>
    </row>
    <row r="5513" spans="1:3" x14ac:dyDescent="0.35">
      <c r="A5513" t="s">
        <v>106</v>
      </c>
      <c r="B5513">
        <v>2015</v>
      </c>
      <c r="C5513">
        <v>6111.8536270624018</v>
      </c>
    </row>
    <row r="5514" spans="1:3" x14ac:dyDescent="0.35">
      <c r="A5514" t="s">
        <v>106</v>
      </c>
      <c r="B5514">
        <v>2016</v>
      </c>
      <c r="C5514">
        <v>6326.9657956475376</v>
      </c>
    </row>
    <row r="5515" spans="1:3" x14ac:dyDescent="0.35">
      <c r="A5515" t="s">
        <v>106</v>
      </c>
      <c r="B5515">
        <v>2017</v>
      </c>
      <c r="C5515">
        <v>6404.6242705660989</v>
      </c>
    </row>
    <row r="5516" spans="1:3" x14ac:dyDescent="0.35">
      <c r="A5516" t="s">
        <v>106</v>
      </c>
      <c r="B5516">
        <v>2018</v>
      </c>
      <c r="C5516">
        <v>6893.9764313414053</v>
      </c>
    </row>
    <row r="5517" spans="1:3" x14ac:dyDescent="0.35">
      <c r="A5517" t="s">
        <v>106</v>
      </c>
      <c r="B5517">
        <v>2019</v>
      </c>
      <c r="C5517">
        <v>7256.1061362697419</v>
      </c>
    </row>
    <row r="5518" spans="1:3" x14ac:dyDescent="0.35">
      <c r="A5518" t="s">
        <v>106</v>
      </c>
      <c r="B5518">
        <v>2020</v>
      </c>
      <c r="C5518">
        <v>7160.0035648061248</v>
      </c>
    </row>
    <row r="5519" spans="1:3" x14ac:dyDescent="0.35">
      <c r="A5519" t="s">
        <v>106</v>
      </c>
      <c r="B5519">
        <v>2021</v>
      </c>
      <c r="C5519">
        <v>7526.3659882434113</v>
      </c>
    </row>
    <row r="5520" spans="1:3" x14ac:dyDescent="0.35">
      <c r="A5520" t="s">
        <v>106</v>
      </c>
      <c r="B5520">
        <v>2022</v>
      </c>
      <c r="C5520">
        <v>7093.1413651093599</v>
      </c>
    </row>
    <row r="5521" spans="1:3" x14ac:dyDescent="0.35">
      <c r="A5521" t="s">
        <v>106</v>
      </c>
      <c r="B5521">
        <v>2023</v>
      </c>
      <c r="C5521">
        <v>7956.8024742034522</v>
      </c>
    </row>
    <row r="5522" spans="1:3" x14ac:dyDescent="0.35">
      <c r="A5522" t="s">
        <v>106</v>
      </c>
      <c r="B5522">
        <v>2024</v>
      </c>
      <c r="C5522">
        <v>8590.3985407476521</v>
      </c>
    </row>
    <row r="5523" spans="1:3" x14ac:dyDescent="0.35">
      <c r="A5523" t="s">
        <v>106</v>
      </c>
      <c r="B5523">
        <v>2025</v>
      </c>
      <c r="C5523">
        <v>10487.302148867115</v>
      </c>
    </row>
    <row r="5524" spans="1:3" x14ac:dyDescent="0.35">
      <c r="A5524" t="s">
        <v>107</v>
      </c>
      <c r="B5524">
        <v>1994</v>
      </c>
      <c r="C5524">
        <v>106.92689295773854</v>
      </c>
    </row>
    <row r="5525" spans="1:3" x14ac:dyDescent="0.35">
      <c r="A5525" t="s">
        <v>107</v>
      </c>
      <c r="B5525">
        <v>1995</v>
      </c>
      <c r="C5525">
        <v>177.68662838392123</v>
      </c>
    </row>
    <row r="5526" spans="1:3" x14ac:dyDescent="0.35">
      <c r="A5526" t="s">
        <v>107</v>
      </c>
      <c r="B5526">
        <v>1996</v>
      </c>
      <c r="C5526">
        <v>241.77120586954874</v>
      </c>
    </row>
    <row r="5527" spans="1:3" x14ac:dyDescent="0.35">
      <c r="A5527" t="s">
        <v>107</v>
      </c>
      <c r="B5527">
        <v>1997</v>
      </c>
      <c r="C5527">
        <v>236.7522783761392</v>
      </c>
    </row>
    <row r="5528" spans="1:3" x14ac:dyDescent="0.35">
      <c r="A5528" t="s">
        <v>107</v>
      </c>
      <c r="B5528">
        <v>1998</v>
      </c>
      <c r="C5528">
        <v>242.6462230838292</v>
      </c>
    </row>
    <row r="5529" spans="1:3" x14ac:dyDescent="0.35">
      <c r="A5529" t="s">
        <v>107</v>
      </c>
      <c r="B5529">
        <v>1999</v>
      </c>
      <c r="C5529">
        <v>143.9053571279168</v>
      </c>
    </row>
    <row r="5530" spans="1:3" x14ac:dyDescent="0.35">
      <c r="A5530" t="s">
        <v>107</v>
      </c>
      <c r="B5530">
        <v>2000</v>
      </c>
      <c r="C5530">
        <v>143.52754110586562</v>
      </c>
    </row>
    <row r="5531" spans="1:3" x14ac:dyDescent="0.35">
      <c r="A5531" t="s">
        <v>107</v>
      </c>
      <c r="B5531">
        <v>2001</v>
      </c>
      <c r="C5531">
        <v>221.48620652055394</v>
      </c>
    </row>
    <row r="5532" spans="1:3" x14ac:dyDescent="0.35">
      <c r="A5532" t="s">
        <v>107</v>
      </c>
      <c r="B5532">
        <v>2002</v>
      </c>
      <c r="C5532">
        <v>245.95671944623857</v>
      </c>
    </row>
    <row r="5533" spans="1:3" x14ac:dyDescent="0.35">
      <c r="A5533" t="s">
        <v>107</v>
      </c>
      <c r="B5533">
        <v>2003</v>
      </c>
      <c r="C5533">
        <v>317.56431513076967</v>
      </c>
    </row>
    <row r="5534" spans="1:3" x14ac:dyDescent="0.35">
      <c r="A5534" t="s">
        <v>107</v>
      </c>
      <c r="B5534">
        <v>2004</v>
      </c>
      <c r="C5534">
        <v>426.44172455618042</v>
      </c>
    </row>
    <row r="5535" spans="1:3" x14ac:dyDescent="0.35">
      <c r="A5535" t="s">
        <v>107</v>
      </c>
      <c r="B5535">
        <v>2005</v>
      </c>
      <c r="C5535">
        <v>591.98524984948824</v>
      </c>
    </row>
    <row r="5536" spans="1:3" x14ac:dyDescent="0.35">
      <c r="A5536" t="s">
        <v>107</v>
      </c>
      <c r="B5536">
        <v>2006</v>
      </c>
      <c r="C5536">
        <v>793.02714749105792</v>
      </c>
    </row>
    <row r="5537" spans="1:3" x14ac:dyDescent="0.35">
      <c r="A5537" t="s">
        <v>107</v>
      </c>
      <c r="B5537">
        <v>2007</v>
      </c>
      <c r="C5537">
        <v>1359.7760986993489</v>
      </c>
    </row>
    <row r="5538" spans="1:3" x14ac:dyDescent="0.35">
      <c r="A5538" t="s">
        <v>107</v>
      </c>
      <c r="B5538">
        <v>2008</v>
      </c>
      <c r="C5538">
        <v>1540.8108130574651</v>
      </c>
    </row>
    <row r="5539" spans="1:3" x14ac:dyDescent="0.35">
      <c r="A5539" t="s">
        <v>107</v>
      </c>
      <c r="B5539">
        <v>2009</v>
      </c>
      <c r="C5539">
        <v>1271.8902757344215</v>
      </c>
    </row>
    <row r="5540" spans="1:3" x14ac:dyDescent="0.35">
      <c r="A5540" t="s">
        <v>107</v>
      </c>
      <c r="B5540">
        <v>2010</v>
      </c>
      <c r="C5540">
        <v>1501.8153438973909</v>
      </c>
    </row>
    <row r="5541" spans="1:3" x14ac:dyDescent="0.35">
      <c r="A5541" t="s">
        <v>107</v>
      </c>
      <c r="B5541">
        <v>2011</v>
      </c>
      <c r="C5541">
        <v>1803.9707818116094</v>
      </c>
    </row>
    <row r="5542" spans="1:3" x14ac:dyDescent="0.35">
      <c r="A5542" t="s">
        <v>107</v>
      </c>
      <c r="B5542">
        <v>2012</v>
      </c>
      <c r="C5542">
        <v>2177.5432054884554</v>
      </c>
    </row>
    <row r="5543" spans="1:3" x14ac:dyDescent="0.35">
      <c r="A5543" t="s">
        <v>107</v>
      </c>
      <c r="B5543">
        <v>2013</v>
      </c>
      <c r="C5543">
        <v>2551.1243747083067</v>
      </c>
    </row>
    <row r="5544" spans="1:3" x14ac:dyDescent="0.35">
      <c r="A5544" t="s">
        <v>107</v>
      </c>
      <c r="B5544">
        <v>2014</v>
      </c>
      <c r="C5544">
        <v>2306.4688648095571</v>
      </c>
    </row>
    <row r="5545" spans="1:3" x14ac:dyDescent="0.35">
      <c r="A5545" t="s">
        <v>107</v>
      </c>
      <c r="B5545">
        <v>2015</v>
      </c>
      <c r="C5545">
        <v>2046.1976743312041</v>
      </c>
    </row>
    <row r="5546" spans="1:3" x14ac:dyDescent="0.35">
      <c r="A5546" t="s">
        <v>107</v>
      </c>
      <c r="B5546">
        <v>2016</v>
      </c>
      <c r="C5546">
        <v>1281.5641805003506</v>
      </c>
    </row>
    <row r="5547" spans="1:3" x14ac:dyDescent="0.35">
      <c r="A5547" t="s">
        <v>107</v>
      </c>
      <c r="B5547">
        <v>2017</v>
      </c>
      <c r="C5547">
        <v>1387.6490209003139</v>
      </c>
    </row>
    <row r="5548" spans="1:3" x14ac:dyDescent="0.35">
      <c r="A5548" t="s">
        <v>107</v>
      </c>
      <c r="B5548">
        <v>2018</v>
      </c>
      <c r="C5548">
        <v>1498.6111346147818</v>
      </c>
    </row>
    <row r="5549" spans="1:3" x14ac:dyDescent="0.35">
      <c r="A5549" t="s">
        <v>107</v>
      </c>
      <c r="B5549">
        <v>2019</v>
      </c>
      <c r="C5549">
        <v>1854.6701187160756</v>
      </c>
    </row>
    <row r="5550" spans="1:3" x14ac:dyDescent="0.35">
      <c r="A5550" t="s">
        <v>107</v>
      </c>
      <c r="B5550">
        <v>2020</v>
      </c>
      <c r="C5550">
        <v>1552.0397785060472</v>
      </c>
    </row>
    <row r="5551" spans="1:3" x14ac:dyDescent="0.35">
      <c r="A5551" t="s">
        <v>107</v>
      </c>
      <c r="B5551">
        <v>2021</v>
      </c>
      <c r="C5551">
        <v>1614.9046447878941</v>
      </c>
    </row>
    <row r="5552" spans="1:3" x14ac:dyDescent="0.35">
      <c r="A5552" t="s">
        <v>107</v>
      </c>
      <c r="B5552">
        <v>2022</v>
      </c>
      <c r="C5552">
        <v>1166.7988656242867</v>
      </c>
    </row>
    <row r="5553" spans="1:3" x14ac:dyDescent="0.35">
      <c r="A5553" t="s">
        <v>107</v>
      </c>
      <c r="B5553">
        <v>2023</v>
      </c>
      <c r="C5553">
        <v>1164.9381254589896</v>
      </c>
    </row>
    <row r="5554" spans="1:3" x14ac:dyDescent="0.35">
      <c r="A5554" t="s">
        <v>107</v>
      </c>
      <c r="B5554">
        <v>2024</v>
      </c>
      <c r="C5554">
        <v>1167.6839832609217</v>
      </c>
    </row>
    <row r="5555" spans="1:3" x14ac:dyDescent="0.35">
      <c r="A5555" t="s">
        <v>107</v>
      </c>
      <c r="B5555">
        <v>2025</v>
      </c>
      <c r="C5555">
        <v>1308.5520965984931</v>
      </c>
    </row>
    <row r="5556" spans="1:3" x14ac:dyDescent="0.35">
      <c r="A5556" t="s">
        <v>108</v>
      </c>
      <c r="B5556">
        <v>1994</v>
      </c>
      <c r="C5556">
        <v>28.672625141813555</v>
      </c>
    </row>
    <row r="5557" spans="1:3" x14ac:dyDescent="0.35">
      <c r="A5557" t="s">
        <v>108</v>
      </c>
      <c r="B5557">
        <v>1995</v>
      </c>
      <c r="C5557">
        <v>51.598795035991834</v>
      </c>
    </row>
    <row r="5558" spans="1:3" x14ac:dyDescent="0.35">
      <c r="A5558" t="s">
        <v>108</v>
      </c>
      <c r="B5558">
        <v>1996</v>
      </c>
      <c r="C5558">
        <v>54.586794279290537</v>
      </c>
    </row>
    <row r="5559" spans="1:3" x14ac:dyDescent="0.35">
      <c r="A5559" t="s">
        <v>108</v>
      </c>
      <c r="B5559">
        <v>1997</v>
      </c>
      <c r="C5559">
        <v>55.004809215262775</v>
      </c>
    </row>
    <row r="5560" spans="1:3" x14ac:dyDescent="0.35">
      <c r="A5560" t="s">
        <v>108</v>
      </c>
      <c r="B5560">
        <v>1998</v>
      </c>
      <c r="C5560">
        <v>43.757918378316127</v>
      </c>
    </row>
    <row r="5561" spans="1:3" x14ac:dyDescent="0.35">
      <c r="A5561" t="s">
        <v>108</v>
      </c>
      <c r="B5561">
        <v>1999</v>
      </c>
      <c r="C5561">
        <v>33.554323889898662</v>
      </c>
    </row>
    <row r="5562" spans="1:3" x14ac:dyDescent="0.35">
      <c r="A5562" t="s">
        <v>108</v>
      </c>
      <c r="B5562">
        <v>2000</v>
      </c>
      <c r="C5562">
        <v>39.443105161433685</v>
      </c>
    </row>
    <row r="5563" spans="1:3" x14ac:dyDescent="0.35">
      <c r="A5563" t="s">
        <v>108</v>
      </c>
      <c r="B5563">
        <v>2001</v>
      </c>
      <c r="C5563">
        <v>35.813607424862539</v>
      </c>
    </row>
    <row r="5564" spans="1:3" x14ac:dyDescent="0.35">
      <c r="A5564" t="s">
        <v>108</v>
      </c>
      <c r="B5564">
        <v>2002</v>
      </c>
      <c r="C5564">
        <v>43.782464191439189</v>
      </c>
    </row>
    <row r="5565" spans="1:3" x14ac:dyDescent="0.35">
      <c r="A5565" t="s">
        <v>108</v>
      </c>
      <c r="B5565">
        <v>2003</v>
      </c>
      <c r="C5565">
        <v>55.068479027868143</v>
      </c>
    </row>
    <row r="5566" spans="1:3" x14ac:dyDescent="0.35">
      <c r="A5566" t="s">
        <v>108</v>
      </c>
      <c r="B5566">
        <v>2004</v>
      </c>
      <c r="C5566">
        <v>63.015184091873586</v>
      </c>
    </row>
    <row r="5567" spans="1:3" x14ac:dyDescent="0.35">
      <c r="A5567" t="s">
        <v>108</v>
      </c>
      <c r="B5567">
        <v>2005</v>
      </c>
      <c r="C5567">
        <v>75.718866277510372</v>
      </c>
    </row>
    <row r="5568" spans="1:3" x14ac:dyDescent="0.35">
      <c r="A5568" t="s">
        <v>108</v>
      </c>
      <c r="B5568">
        <v>2006</v>
      </c>
      <c r="C5568">
        <v>89.811926411292816</v>
      </c>
    </row>
    <row r="5569" spans="1:3" x14ac:dyDescent="0.35">
      <c r="A5569" t="s">
        <v>108</v>
      </c>
      <c r="B5569">
        <v>2007</v>
      </c>
      <c r="C5569">
        <v>116.26349075337052</v>
      </c>
    </row>
    <row r="5570" spans="1:3" x14ac:dyDescent="0.35">
      <c r="A5570" t="s">
        <v>108</v>
      </c>
      <c r="B5570">
        <v>2008</v>
      </c>
      <c r="C5570">
        <v>149.3092145915472</v>
      </c>
    </row>
    <row r="5571" spans="1:3" x14ac:dyDescent="0.35">
      <c r="A5571" t="s">
        <v>108</v>
      </c>
      <c r="B5571">
        <v>2009</v>
      </c>
      <c r="C5571">
        <v>148.96109462731999</v>
      </c>
    </row>
    <row r="5572" spans="1:3" x14ac:dyDescent="0.35">
      <c r="A5572" t="s">
        <v>108</v>
      </c>
      <c r="B5572">
        <v>2010</v>
      </c>
      <c r="C5572">
        <v>184.39935993803886</v>
      </c>
    </row>
    <row r="5573" spans="1:3" x14ac:dyDescent="0.35">
      <c r="A5573" t="s">
        <v>108</v>
      </c>
      <c r="B5573">
        <v>2011</v>
      </c>
      <c r="C5573">
        <v>210.65190198487772</v>
      </c>
    </row>
    <row r="5574" spans="1:3" x14ac:dyDescent="0.35">
      <c r="A5574" t="s">
        <v>108</v>
      </c>
      <c r="B5574">
        <v>2012</v>
      </c>
      <c r="C5574">
        <v>211.84394685615206</v>
      </c>
    </row>
    <row r="5575" spans="1:3" x14ac:dyDescent="0.35">
      <c r="A5575" t="s">
        <v>108</v>
      </c>
      <c r="B5575">
        <v>2013</v>
      </c>
      <c r="C5575">
        <v>234.44244922901601</v>
      </c>
    </row>
    <row r="5576" spans="1:3" x14ac:dyDescent="0.35">
      <c r="A5576" t="s">
        <v>108</v>
      </c>
      <c r="B5576">
        <v>2014</v>
      </c>
      <c r="C5576">
        <v>252.11513211405699</v>
      </c>
    </row>
    <row r="5577" spans="1:3" x14ac:dyDescent="0.35">
      <c r="A5577" t="s">
        <v>108</v>
      </c>
      <c r="B5577">
        <v>2015</v>
      </c>
      <c r="C5577">
        <v>230.50750895673355</v>
      </c>
    </row>
    <row r="5578" spans="1:3" x14ac:dyDescent="0.35">
      <c r="A5578" t="s">
        <v>108</v>
      </c>
      <c r="B5578">
        <v>2016</v>
      </c>
      <c r="C5578">
        <v>227.83218717759019</v>
      </c>
    </row>
    <row r="5579" spans="1:3" x14ac:dyDescent="0.35">
      <c r="A5579" t="s">
        <v>108</v>
      </c>
      <c r="B5579">
        <v>2017</v>
      </c>
      <c r="C5579">
        <v>239.39761394491919</v>
      </c>
    </row>
    <row r="5580" spans="1:3" x14ac:dyDescent="0.35">
      <c r="A5580" t="s">
        <v>108</v>
      </c>
      <c r="B5580">
        <v>2018</v>
      </c>
      <c r="C5580">
        <v>250.49425234923092</v>
      </c>
    </row>
    <row r="5581" spans="1:3" x14ac:dyDescent="0.35">
      <c r="A5581" t="s">
        <v>108</v>
      </c>
      <c r="B5581">
        <v>2019</v>
      </c>
      <c r="C5581">
        <v>254.03077893047518</v>
      </c>
    </row>
    <row r="5582" spans="1:3" x14ac:dyDescent="0.35">
      <c r="A5582" t="s">
        <v>108</v>
      </c>
      <c r="B5582">
        <v>2020</v>
      </c>
      <c r="C5582">
        <v>256.97865484311529</v>
      </c>
    </row>
    <row r="5583" spans="1:3" x14ac:dyDescent="0.35">
      <c r="A5583" t="s">
        <v>108</v>
      </c>
      <c r="B5583">
        <v>2021</v>
      </c>
      <c r="C5583">
        <v>262.70066231498777</v>
      </c>
    </row>
    <row r="5584" spans="1:3" x14ac:dyDescent="0.35">
      <c r="A5584" t="s">
        <v>108</v>
      </c>
      <c r="B5584">
        <v>2022</v>
      </c>
      <c r="C5584">
        <v>352.44331110073807</v>
      </c>
    </row>
    <row r="5585" spans="1:3" x14ac:dyDescent="0.35">
      <c r="A5585" t="s">
        <v>108</v>
      </c>
      <c r="B5585">
        <v>2023</v>
      </c>
      <c r="C5585">
        <v>483.25941665052807</v>
      </c>
    </row>
    <row r="5586" spans="1:3" x14ac:dyDescent="0.35">
      <c r="A5586" t="s">
        <v>108</v>
      </c>
      <c r="B5586">
        <v>2024</v>
      </c>
      <c r="C5586">
        <v>511.26207870020585</v>
      </c>
    </row>
    <row r="5587" spans="1:3" x14ac:dyDescent="0.35">
      <c r="A5587" t="s">
        <v>108</v>
      </c>
      <c r="B5587">
        <v>2025</v>
      </c>
      <c r="C5587">
        <v>601.12560197898983</v>
      </c>
    </row>
    <row r="5588" spans="1:3" x14ac:dyDescent="0.35">
      <c r="A5588" t="s">
        <v>109</v>
      </c>
      <c r="B5588">
        <v>1992</v>
      </c>
      <c r="C5588">
        <v>1.0370586424254209</v>
      </c>
    </row>
    <row r="5589" spans="1:3" x14ac:dyDescent="0.35">
      <c r="A5589" t="s">
        <v>109</v>
      </c>
      <c r="B5589">
        <v>1993</v>
      </c>
      <c r="C5589">
        <v>23.498175217718735</v>
      </c>
    </row>
    <row r="5590" spans="1:3" x14ac:dyDescent="0.35">
      <c r="A5590" t="s">
        <v>109</v>
      </c>
      <c r="B5590">
        <v>1994</v>
      </c>
      <c r="C5590">
        <v>14.182891529866133</v>
      </c>
    </row>
    <row r="5591" spans="1:3" x14ac:dyDescent="0.35">
      <c r="A5591" t="s">
        <v>109</v>
      </c>
      <c r="B5591">
        <v>1995</v>
      </c>
      <c r="C5591">
        <v>5.8034006462693011</v>
      </c>
    </row>
    <row r="5592" spans="1:3" x14ac:dyDescent="0.35">
      <c r="A5592" t="s">
        <v>109</v>
      </c>
      <c r="B5592">
        <v>1996</v>
      </c>
      <c r="C5592">
        <v>13.4585448392555</v>
      </c>
    </row>
    <row r="5593" spans="1:3" x14ac:dyDescent="0.35">
      <c r="A5593" t="s">
        <v>109</v>
      </c>
      <c r="B5593">
        <v>1997</v>
      </c>
      <c r="C5593">
        <v>19.050989360396777</v>
      </c>
    </row>
    <row r="5594" spans="1:3" x14ac:dyDescent="0.35">
      <c r="A5594" t="s">
        <v>109</v>
      </c>
      <c r="B5594">
        <v>1998</v>
      </c>
      <c r="C5594">
        <v>22.613230323515211</v>
      </c>
    </row>
    <row r="5595" spans="1:3" x14ac:dyDescent="0.35">
      <c r="A5595" t="s">
        <v>109</v>
      </c>
      <c r="B5595">
        <v>1999</v>
      </c>
      <c r="C5595">
        <v>15.126152255229078</v>
      </c>
    </row>
    <row r="5596" spans="1:3" x14ac:dyDescent="0.35">
      <c r="A5596" t="s">
        <v>109</v>
      </c>
      <c r="B5596">
        <v>2000</v>
      </c>
      <c r="C5596">
        <v>10.353281155930164</v>
      </c>
    </row>
    <row r="5597" spans="1:3" x14ac:dyDescent="0.35">
      <c r="A5597" t="s">
        <v>109</v>
      </c>
      <c r="B5597">
        <v>2001</v>
      </c>
      <c r="C5597">
        <v>12.468225563719603</v>
      </c>
    </row>
    <row r="5598" spans="1:3" x14ac:dyDescent="0.35">
      <c r="A5598" t="s">
        <v>109</v>
      </c>
      <c r="B5598">
        <v>2002</v>
      </c>
      <c r="C5598">
        <v>25.577668199397277</v>
      </c>
    </row>
    <row r="5599" spans="1:3" x14ac:dyDescent="0.35">
      <c r="A5599" t="s">
        <v>109</v>
      </c>
      <c r="B5599">
        <v>2003</v>
      </c>
      <c r="C5599">
        <v>34.788346393934745</v>
      </c>
    </row>
    <row r="5600" spans="1:3" x14ac:dyDescent="0.35">
      <c r="A5600" t="s">
        <v>109</v>
      </c>
      <c r="B5600">
        <v>2004</v>
      </c>
      <c r="C5600">
        <v>45.110098939239393</v>
      </c>
    </row>
    <row r="5601" spans="1:3" x14ac:dyDescent="0.35">
      <c r="A5601" t="s">
        <v>109</v>
      </c>
      <c r="B5601">
        <v>2008</v>
      </c>
      <c r="C5601">
        <v>52.467120604421225</v>
      </c>
    </row>
    <row r="5602" spans="1:3" x14ac:dyDescent="0.35">
      <c r="A5602" t="s">
        <v>109</v>
      </c>
      <c r="B5602">
        <v>2009</v>
      </c>
      <c r="C5602">
        <v>47.529274315605001</v>
      </c>
    </row>
    <row r="5603" spans="1:3" x14ac:dyDescent="0.35">
      <c r="A5603" t="s">
        <v>109</v>
      </c>
      <c r="B5603">
        <v>2010</v>
      </c>
      <c r="C5603">
        <v>53.756933708155117</v>
      </c>
    </row>
    <row r="5604" spans="1:3" x14ac:dyDescent="0.35">
      <c r="A5604" t="s">
        <v>109</v>
      </c>
      <c r="B5604">
        <v>2011</v>
      </c>
      <c r="C5604">
        <v>71.342116793704378</v>
      </c>
    </row>
    <row r="5605" spans="1:3" x14ac:dyDescent="0.35">
      <c r="A5605" t="s">
        <v>109</v>
      </c>
      <c r="B5605">
        <v>2012</v>
      </c>
      <c r="C5605">
        <v>76.260471831327791</v>
      </c>
    </row>
    <row r="5606" spans="1:3" x14ac:dyDescent="0.35">
      <c r="A5606" t="s">
        <v>109</v>
      </c>
      <c r="B5606">
        <v>2014</v>
      </c>
      <c r="C5606">
        <v>104.28068919281768</v>
      </c>
    </row>
    <row r="5607" spans="1:3" x14ac:dyDescent="0.35">
      <c r="A5607" t="s">
        <v>109</v>
      </c>
      <c r="B5607">
        <v>2015</v>
      </c>
      <c r="C5607">
        <v>100.67958040709917</v>
      </c>
    </row>
    <row r="5608" spans="1:3" x14ac:dyDescent="0.35">
      <c r="A5608" t="s">
        <v>109</v>
      </c>
      <c r="B5608">
        <v>2016</v>
      </c>
      <c r="C5608">
        <v>84.472620418789703</v>
      </c>
    </row>
    <row r="5609" spans="1:3" x14ac:dyDescent="0.35">
      <c r="A5609" t="s">
        <v>109</v>
      </c>
      <c r="B5609">
        <v>2017</v>
      </c>
      <c r="C5609">
        <v>78.166104433954686</v>
      </c>
    </row>
    <row r="5610" spans="1:3" x14ac:dyDescent="0.35">
      <c r="A5610" t="s">
        <v>109</v>
      </c>
      <c r="B5610">
        <v>2018</v>
      </c>
      <c r="C5610">
        <v>81.420867534918017</v>
      </c>
    </row>
    <row r="5611" spans="1:3" x14ac:dyDescent="0.35">
      <c r="A5611" t="s">
        <v>109</v>
      </c>
      <c r="B5611">
        <v>2019</v>
      </c>
      <c r="C5611">
        <v>82.756522134510448</v>
      </c>
    </row>
    <row r="5612" spans="1:3" x14ac:dyDescent="0.35">
      <c r="A5612" t="s">
        <v>109</v>
      </c>
      <c r="B5612">
        <v>2020</v>
      </c>
      <c r="C5612">
        <v>77.107585539865823</v>
      </c>
    </row>
    <row r="5613" spans="1:3" x14ac:dyDescent="0.35">
      <c r="A5613" t="s">
        <v>109</v>
      </c>
      <c r="B5613">
        <v>2021</v>
      </c>
      <c r="C5613">
        <v>89.611233679817147</v>
      </c>
    </row>
    <row r="5614" spans="1:3" x14ac:dyDescent="0.35">
      <c r="A5614" t="s">
        <v>109</v>
      </c>
      <c r="B5614">
        <v>2022</v>
      </c>
      <c r="C5614">
        <v>202.59131589622953</v>
      </c>
    </row>
    <row r="5615" spans="1:3" x14ac:dyDescent="0.35">
      <c r="A5615" t="s">
        <v>109</v>
      </c>
      <c r="B5615">
        <v>2023</v>
      </c>
      <c r="C5615">
        <v>285.02862043289127</v>
      </c>
    </row>
    <row r="5616" spans="1:3" x14ac:dyDescent="0.35">
      <c r="A5616" t="s">
        <v>109</v>
      </c>
      <c r="B5616">
        <v>2024</v>
      </c>
      <c r="C5616">
        <v>184.08273846222812</v>
      </c>
    </row>
    <row r="5617" spans="1:3" x14ac:dyDescent="0.35">
      <c r="A5617" t="s">
        <v>109</v>
      </c>
      <c r="B5617">
        <v>2025</v>
      </c>
      <c r="C5617">
        <v>246.93188832153652</v>
      </c>
    </row>
    <row r="5618" spans="1:3" x14ac:dyDescent="0.35">
      <c r="A5618" t="s">
        <v>110</v>
      </c>
      <c r="B5618">
        <v>1994</v>
      </c>
      <c r="C5618">
        <v>79.583333333333329</v>
      </c>
    </row>
    <row r="5619" spans="1:3" x14ac:dyDescent="0.35">
      <c r="A5619" t="s">
        <v>110</v>
      </c>
      <c r="B5619">
        <v>1995</v>
      </c>
      <c r="C5619">
        <v>135.61261261261259</v>
      </c>
    </row>
    <row r="5620" spans="1:3" x14ac:dyDescent="0.35">
      <c r="A5620" t="s">
        <v>110</v>
      </c>
      <c r="B5620">
        <v>1996</v>
      </c>
      <c r="C5620">
        <v>48.549386503067488</v>
      </c>
    </row>
    <row r="5621" spans="1:3" x14ac:dyDescent="0.35">
      <c r="A5621" t="s">
        <v>110</v>
      </c>
      <c r="B5621">
        <v>1997</v>
      </c>
      <c r="C5621">
        <v>106.19059107358264</v>
      </c>
    </row>
    <row r="5622" spans="1:3" x14ac:dyDescent="0.35">
      <c r="A5622" t="s">
        <v>110</v>
      </c>
      <c r="B5622">
        <v>1998</v>
      </c>
      <c r="C5622">
        <v>87.510040160642561</v>
      </c>
    </row>
    <row r="5623" spans="1:3" x14ac:dyDescent="0.35">
      <c r="A5623" t="s">
        <v>110</v>
      </c>
      <c r="B5623">
        <v>1999</v>
      </c>
      <c r="C5623">
        <v>111.92307692307692</v>
      </c>
    </row>
    <row r="5624" spans="1:3" x14ac:dyDescent="0.35">
      <c r="A5624" t="s">
        <v>111</v>
      </c>
      <c r="B5624">
        <v>1994</v>
      </c>
      <c r="C5624">
        <v>86.929824561403507</v>
      </c>
    </row>
    <row r="5625" spans="1:3" x14ac:dyDescent="0.35">
      <c r="A5625" t="s">
        <v>111</v>
      </c>
      <c r="B5625">
        <v>1995</v>
      </c>
      <c r="C5625">
        <v>112.67842149454241</v>
      </c>
    </row>
    <row r="5626" spans="1:3" x14ac:dyDescent="0.35">
      <c r="A5626" t="s">
        <v>111</v>
      </c>
      <c r="B5626">
        <v>1996</v>
      </c>
      <c r="C5626">
        <v>172.21154566101779</v>
      </c>
    </row>
    <row r="5627" spans="1:3" x14ac:dyDescent="0.35">
      <c r="A5627" t="s">
        <v>111</v>
      </c>
      <c r="B5627">
        <v>1997</v>
      </c>
      <c r="C5627">
        <v>217.74719074336028</v>
      </c>
    </row>
    <row r="5628" spans="1:3" x14ac:dyDescent="0.35">
      <c r="A5628" t="s">
        <v>111</v>
      </c>
      <c r="B5628">
        <v>1999</v>
      </c>
      <c r="C5628">
        <v>250.07173601147773</v>
      </c>
    </row>
    <row r="5629" spans="1:3" x14ac:dyDescent="0.35">
      <c r="A5629" t="s">
        <v>111</v>
      </c>
      <c r="B5629">
        <v>2000</v>
      </c>
      <c r="C5629">
        <v>115.3753846153846</v>
      </c>
    </row>
    <row r="5630" spans="1:3" x14ac:dyDescent="0.35">
      <c r="A5630" t="s">
        <v>111</v>
      </c>
      <c r="B5630">
        <v>2001</v>
      </c>
      <c r="C5630">
        <v>59.760610465116279</v>
      </c>
    </row>
    <row r="5631" spans="1:3" x14ac:dyDescent="0.35">
      <c r="A5631" t="s">
        <v>111</v>
      </c>
      <c r="B5631">
        <v>2002</v>
      </c>
      <c r="C5631">
        <v>45.914432989690724</v>
      </c>
    </row>
    <row r="5632" spans="1:3" x14ac:dyDescent="0.35">
      <c r="A5632" t="s">
        <v>111</v>
      </c>
      <c r="B5632">
        <v>2003</v>
      </c>
      <c r="C5632">
        <v>54.133695463502796</v>
      </c>
    </row>
    <row r="5633" spans="1:3" x14ac:dyDescent="0.35">
      <c r="A5633" t="s">
        <v>111</v>
      </c>
      <c r="B5633">
        <v>2018</v>
      </c>
      <c r="C5633">
        <v>1440.4668157583417</v>
      </c>
    </row>
    <row r="5634" spans="1:3" x14ac:dyDescent="0.35">
      <c r="A5634" t="s">
        <v>112</v>
      </c>
      <c r="B5634">
        <v>1992</v>
      </c>
      <c r="C5634">
        <v>31.559657481757906</v>
      </c>
    </row>
    <row r="5635" spans="1:3" x14ac:dyDescent="0.35">
      <c r="A5635" t="s">
        <v>112</v>
      </c>
      <c r="B5635">
        <v>1993</v>
      </c>
      <c r="C5635">
        <v>39.289843428504241</v>
      </c>
    </row>
    <row r="5636" spans="1:3" x14ac:dyDescent="0.35">
      <c r="A5636" t="s">
        <v>112</v>
      </c>
      <c r="B5636">
        <v>1994</v>
      </c>
      <c r="C5636">
        <v>49.649504931660594</v>
      </c>
    </row>
    <row r="5637" spans="1:3" x14ac:dyDescent="0.35">
      <c r="A5637" t="s">
        <v>112</v>
      </c>
      <c r="B5637">
        <v>1995</v>
      </c>
      <c r="C5637">
        <v>50.907521777825721</v>
      </c>
    </row>
    <row r="5638" spans="1:3" x14ac:dyDescent="0.35">
      <c r="A5638" t="s">
        <v>112</v>
      </c>
      <c r="B5638">
        <v>1996</v>
      </c>
      <c r="C5638">
        <v>45.713356108670901</v>
      </c>
    </row>
    <row r="5639" spans="1:3" x14ac:dyDescent="0.35">
      <c r="A5639" t="s">
        <v>112</v>
      </c>
      <c r="B5639">
        <v>1997</v>
      </c>
      <c r="C5639">
        <v>29.825491999758281</v>
      </c>
    </row>
    <row r="5640" spans="1:3" x14ac:dyDescent="0.35">
      <c r="A5640" t="s">
        <v>112</v>
      </c>
      <c r="B5640">
        <v>1998</v>
      </c>
      <c r="C5640">
        <v>33.638047439804026</v>
      </c>
    </row>
    <row r="5641" spans="1:3" x14ac:dyDescent="0.35">
      <c r="A5641" t="s">
        <v>112</v>
      </c>
      <c r="B5641">
        <v>1999</v>
      </c>
      <c r="C5641">
        <v>42.784205213122135</v>
      </c>
    </row>
    <row r="5642" spans="1:3" x14ac:dyDescent="0.35">
      <c r="A5642" t="s">
        <v>112</v>
      </c>
      <c r="B5642">
        <v>2000</v>
      </c>
      <c r="C5642">
        <v>45.362503392271883</v>
      </c>
    </row>
    <row r="5643" spans="1:3" x14ac:dyDescent="0.35">
      <c r="A5643" t="s">
        <v>112</v>
      </c>
      <c r="B5643">
        <v>2001</v>
      </c>
      <c r="C5643">
        <v>53.232045161515138</v>
      </c>
    </row>
    <row r="5644" spans="1:3" x14ac:dyDescent="0.35">
      <c r="A5644" t="s">
        <v>112</v>
      </c>
      <c r="B5644">
        <v>2002</v>
      </c>
      <c r="C5644">
        <v>58.649352502586424</v>
      </c>
    </row>
    <row r="5645" spans="1:3" x14ac:dyDescent="0.35">
      <c r="A5645" t="s">
        <v>112</v>
      </c>
      <c r="B5645">
        <v>2003</v>
      </c>
      <c r="C5645">
        <v>76.142881760665674</v>
      </c>
    </row>
    <row r="5646" spans="1:3" x14ac:dyDescent="0.35">
      <c r="A5646" t="s">
        <v>112</v>
      </c>
      <c r="B5646">
        <v>2004</v>
      </c>
      <c r="C5646">
        <v>100.92235843549329</v>
      </c>
    </row>
    <row r="5647" spans="1:3" x14ac:dyDescent="0.35">
      <c r="A5647" t="s">
        <v>112</v>
      </c>
      <c r="B5647">
        <v>2005</v>
      </c>
      <c r="C5647">
        <v>110.14085268593365</v>
      </c>
    </row>
    <row r="5648" spans="1:3" x14ac:dyDescent="0.35">
      <c r="A5648" t="s">
        <v>112</v>
      </c>
      <c r="B5648">
        <v>2006</v>
      </c>
      <c r="C5648">
        <v>140.98390065991597</v>
      </c>
    </row>
    <row r="5649" spans="1:3" x14ac:dyDescent="0.35">
      <c r="A5649" t="s">
        <v>112</v>
      </c>
      <c r="B5649">
        <v>2007</v>
      </c>
      <c r="C5649">
        <v>194.84030924084274</v>
      </c>
    </row>
    <row r="5650" spans="1:3" x14ac:dyDescent="0.35">
      <c r="A5650" t="s">
        <v>112</v>
      </c>
      <c r="B5650">
        <v>2008</v>
      </c>
      <c r="C5650">
        <v>255.67795781850086</v>
      </c>
    </row>
    <row r="5651" spans="1:3" x14ac:dyDescent="0.35">
      <c r="A5651" t="s">
        <v>112</v>
      </c>
      <c r="B5651">
        <v>2009</v>
      </c>
      <c r="C5651">
        <v>182.7368624977758</v>
      </c>
    </row>
    <row r="5652" spans="1:3" x14ac:dyDescent="0.35">
      <c r="A5652" t="s">
        <v>112</v>
      </c>
      <c r="B5652">
        <v>2010</v>
      </c>
      <c r="C5652">
        <v>185.89324199507388</v>
      </c>
    </row>
    <row r="5653" spans="1:3" x14ac:dyDescent="0.35">
      <c r="A5653" t="s">
        <v>112</v>
      </c>
      <c r="B5653">
        <v>2011</v>
      </c>
      <c r="C5653">
        <v>197.00678923633481</v>
      </c>
    </row>
    <row r="5654" spans="1:3" x14ac:dyDescent="0.35">
      <c r="A5654" t="s">
        <v>112</v>
      </c>
      <c r="B5654">
        <v>2012</v>
      </c>
      <c r="C5654">
        <v>183.20469566021168</v>
      </c>
    </row>
    <row r="5655" spans="1:3" x14ac:dyDescent="0.35">
      <c r="A5655" t="s">
        <v>112</v>
      </c>
      <c r="B5655">
        <v>2013</v>
      </c>
      <c r="C5655">
        <v>180.01550882086661</v>
      </c>
    </row>
    <row r="5656" spans="1:3" x14ac:dyDescent="0.35">
      <c r="A5656" t="s">
        <v>112</v>
      </c>
      <c r="B5656">
        <v>2014</v>
      </c>
      <c r="C5656">
        <v>178.12036802776305</v>
      </c>
    </row>
    <row r="5657" spans="1:3" x14ac:dyDescent="0.35">
      <c r="A5657" t="s">
        <v>112</v>
      </c>
      <c r="B5657">
        <v>2015</v>
      </c>
      <c r="C5657">
        <v>132.35066759083421</v>
      </c>
    </row>
    <row r="5658" spans="1:3" x14ac:dyDescent="0.35">
      <c r="A5658" t="s">
        <v>112</v>
      </c>
      <c r="B5658">
        <v>2016</v>
      </c>
      <c r="C5658">
        <v>130.89796000563868</v>
      </c>
    </row>
    <row r="5659" spans="1:3" x14ac:dyDescent="0.35">
      <c r="A5659" t="s">
        <v>112</v>
      </c>
      <c r="B5659">
        <v>2017</v>
      </c>
      <c r="C5659">
        <v>144.40806045340051</v>
      </c>
    </row>
    <row r="5660" spans="1:3" x14ac:dyDescent="0.35">
      <c r="A5660" t="s">
        <v>112</v>
      </c>
      <c r="B5660">
        <v>2018</v>
      </c>
      <c r="C5660">
        <v>175.89727364627734</v>
      </c>
    </row>
    <row r="5661" spans="1:3" x14ac:dyDescent="0.35">
      <c r="A5661" t="s">
        <v>112</v>
      </c>
      <c r="B5661">
        <v>2019</v>
      </c>
      <c r="C5661">
        <v>197.26750669468507</v>
      </c>
    </row>
    <row r="5662" spans="1:3" x14ac:dyDescent="0.35">
      <c r="A5662" t="s">
        <v>112</v>
      </c>
      <c r="B5662">
        <v>2020</v>
      </c>
      <c r="C5662">
        <v>196.48412333179937</v>
      </c>
    </row>
    <row r="5663" spans="1:3" x14ac:dyDescent="0.35">
      <c r="A5663" t="s">
        <v>112</v>
      </c>
      <c r="B5663">
        <v>2021</v>
      </c>
      <c r="C5663">
        <v>222.87480680061827</v>
      </c>
    </row>
    <row r="5664" spans="1:3" x14ac:dyDescent="0.35">
      <c r="A5664" t="s">
        <v>112</v>
      </c>
      <c r="B5664">
        <v>2022</v>
      </c>
      <c r="C5664">
        <v>228.65904902322288</v>
      </c>
    </row>
    <row r="5665" spans="1:3" x14ac:dyDescent="0.35">
      <c r="A5665" t="s">
        <v>112</v>
      </c>
      <c r="B5665">
        <v>2023</v>
      </c>
      <c r="C5665">
        <v>399.98012817328231</v>
      </c>
    </row>
    <row r="5666" spans="1:3" x14ac:dyDescent="0.35">
      <c r="A5666" t="s">
        <v>112</v>
      </c>
      <c r="B5666">
        <v>2024</v>
      </c>
      <c r="C5666">
        <v>535.2256863657517</v>
      </c>
    </row>
    <row r="5667" spans="1:3" x14ac:dyDescent="0.35">
      <c r="A5667" t="s">
        <v>112</v>
      </c>
      <c r="B5667">
        <v>2025</v>
      </c>
      <c r="C5667">
        <v>623.6140245729697</v>
      </c>
    </row>
    <row r="5668" spans="1:3" x14ac:dyDescent="0.35">
      <c r="A5668" t="s">
        <v>113</v>
      </c>
      <c r="B5668">
        <v>2002</v>
      </c>
      <c r="C5668">
        <v>241.02551764292622</v>
      </c>
    </row>
    <row r="5669" spans="1:3" x14ac:dyDescent="0.35">
      <c r="A5669" t="s">
        <v>113</v>
      </c>
      <c r="B5669">
        <v>2003</v>
      </c>
      <c r="C5669">
        <v>202.28283889135739</v>
      </c>
    </row>
    <row r="5670" spans="1:3" x14ac:dyDescent="0.35">
      <c r="A5670" t="s">
        <v>113</v>
      </c>
      <c r="B5670">
        <v>2004</v>
      </c>
      <c r="C5670">
        <v>200.10030727037255</v>
      </c>
    </row>
    <row r="5671" spans="1:3" x14ac:dyDescent="0.35">
      <c r="A5671" t="s">
        <v>113</v>
      </c>
      <c r="B5671">
        <v>2005</v>
      </c>
      <c r="C5671">
        <v>173.30484765247471</v>
      </c>
    </row>
    <row r="5672" spans="1:3" x14ac:dyDescent="0.35">
      <c r="A5672" t="s">
        <v>113</v>
      </c>
      <c r="B5672">
        <v>2006</v>
      </c>
      <c r="C5672">
        <v>178.3755700513768</v>
      </c>
    </row>
    <row r="5673" spans="1:3" x14ac:dyDescent="0.35">
      <c r="A5673" t="s">
        <v>113</v>
      </c>
      <c r="B5673">
        <v>2007</v>
      </c>
      <c r="C5673">
        <v>195.04968509447167</v>
      </c>
    </row>
    <row r="5674" spans="1:3" x14ac:dyDescent="0.35">
      <c r="A5674" t="s">
        <v>113</v>
      </c>
      <c r="B5674">
        <v>2008</v>
      </c>
      <c r="C5674">
        <v>233.29239065308568</v>
      </c>
    </row>
    <row r="5675" spans="1:3" x14ac:dyDescent="0.35">
      <c r="A5675" t="s">
        <v>113</v>
      </c>
      <c r="B5675">
        <v>2009</v>
      </c>
      <c r="C5675">
        <v>242.47135784755909</v>
      </c>
    </row>
    <row r="5676" spans="1:3" x14ac:dyDescent="0.35">
      <c r="A5676" t="s">
        <v>113</v>
      </c>
      <c r="B5676">
        <v>2010</v>
      </c>
      <c r="C5676">
        <v>219.91548952422229</v>
      </c>
    </row>
    <row r="5677" spans="1:3" x14ac:dyDescent="0.35">
      <c r="A5677" t="s">
        <v>113</v>
      </c>
      <c r="B5677">
        <v>2011</v>
      </c>
      <c r="C5677">
        <v>211.8782606223435</v>
      </c>
    </row>
    <row r="5678" spans="1:3" x14ac:dyDescent="0.35">
      <c r="A5678" t="s">
        <v>113</v>
      </c>
      <c r="B5678">
        <v>2012</v>
      </c>
      <c r="C5678">
        <v>197.34465021251995</v>
      </c>
    </row>
    <row r="5679" spans="1:3" x14ac:dyDescent="0.35">
      <c r="A5679" t="s">
        <v>113</v>
      </c>
      <c r="B5679">
        <v>2013</v>
      </c>
      <c r="C5679">
        <v>197.61718882590543</v>
      </c>
    </row>
    <row r="5680" spans="1:3" x14ac:dyDescent="0.35">
      <c r="A5680" t="s">
        <v>113</v>
      </c>
      <c r="B5680">
        <v>2014</v>
      </c>
      <c r="C5680">
        <v>190.38045464127472</v>
      </c>
    </row>
    <row r="5681" spans="1:3" x14ac:dyDescent="0.35">
      <c r="A5681" t="s">
        <v>113</v>
      </c>
      <c r="B5681">
        <v>2015</v>
      </c>
      <c r="C5681">
        <v>162.21568188047118</v>
      </c>
    </row>
    <row r="5682" spans="1:3" x14ac:dyDescent="0.35">
      <c r="A5682" t="s">
        <v>113</v>
      </c>
      <c r="B5682">
        <v>2016</v>
      </c>
      <c r="C5682">
        <v>157.9120105787029</v>
      </c>
    </row>
    <row r="5683" spans="1:3" x14ac:dyDescent="0.35">
      <c r="A5683" t="s">
        <v>113</v>
      </c>
      <c r="B5683">
        <v>2017</v>
      </c>
      <c r="C5683">
        <v>156.25830209392853</v>
      </c>
    </row>
    <row r="5684" spans="1:3" x14ac:dyDescent="0.35">
      <c r="A5684" t="s">
        <v>113</v>
      </c>
      <c r="B5684">
        <v>2018</v>
      </c>
      <c r="C5684">
        <v>172.07331781494943</v>
      </c>
    </row>
    <row r="5685" spans="1:3" x14ac:dyDescent="0.35">
      <c r="A5685" t="s">
        <v>113</v>
      </c>
      <c r="B5685">
        <v>2019</v>
      </c>
      <c r="C5685">
        <v>165.36920435031482</v>
      </c>
    </row>
    <row r="5686" spans="1:3" x14ac:dyDescent="0.35">
      <c r="A5686" t="s">
        <v>113</v>
      </c>
      <c r="B5686">
        <v>2020</v>
      </c>
      <c r="C5686">
        <v>167.52186588921282</v>
      </c>
    </row>
    <row r="5687" spans="1:3" x14ac:dyDescent="0.35">
      <c r="A5687" t="s">
        <v>113</v>
      </c>
      <c r="B5687">
        <v>2021</v>
      </c>
      <c r="C5687">
        <v>209.7218863361548</v>
      </c>
    </row>
    <row r="5688" spans="1:3" x14ac:dyDescent="0.35">
      <c r="A5688" t="s">
        <v>113</v>
      </c>
      <c r="B5688">
        <v>2022</v>
      </c>
      <c r="C5688">
        <v>184.48479933661622</v>
      </c>
    </row>
    <row r="5689" spans="1:3" x14ac:dyDescent="0.35">
      <c r="A5689" t="s">
        <v>113</v>
      </c>
      <c r="B5689">
        <v>2023</v>
      </c>
      <c r="C5689">
        <v>216.8131731471897</v>
      </c>
    </row>
    <row r="5690" spans="1:3" x14ac:dyDescent="0.35">
      <c r="A5690" t="s">
        <v>113</v>
      </c>
      <c r="B5690">
        <v>2024</v>
      </c>
      <c r="C5690">
        <v>216.03776945090792</v>
      </c>
    </row>
    <row r="5691" spans="1:3" x14ac:dyDescent="0.35">
      <c r="A5691" t="s">
        <v>113</v>
      </c>
      <c r="B5691">
        <v>2025</v>
      </c>
      <c r="C5691">
        <v>231.39516775581535</v>
      </c>
    </row>
    <row r="5692" spans="1:3" x14ac:dyDescent="0.35">
      <c r="A5692" t="s">
        <v>114</v>
      </c>
      <c r="B5692">
        <v>1989</v>
      </c>
      <c r="C5692">
        <v>2071.4285714285711</v>
      </c>
    </row>
    <row r="5693" spans="1:3" x14ac:dyDescent="0.35">
      <c r="A5693" t="s">
        <v>114</v>
      </c>
      <c r="B5693">
        <v>1990</v>
      </c>
      <c r="C5693">
        <v>794.52054794520541</v>
      </c>
    </row>
    <row r="5694" spans="1:3" x14ac:dyDescent="0.35">
      <c r="A5694" t="s">
        <v>114</v>
      </c>
      <c r="B5694">
        <v>1991</v>
      </c>
      <c r="C5694">
        <v>232.17638659335964</v>
      </c>
    </row>
    <row r="5695" spans="1:3" x14ac:dyDescent="0.35">
      <c r="A5695" t="s">
        <v>114</v>
      </c>
      <c r="B5695">
        <v>1992</v>
      </c>
      <c r="C5695">
        <v>255.77091152125857</v>
      </c>
    </row>
    <row r="5696" spans="1:3" x14ac:dyDescent="0.35">
      <c r="A5696" t="s">
        <v>114</v>
      </c>
      <c r="B5696">
        <v>1993</v>
      </c>
      <c r="C5696">
        <v>282.67424330279488</v>
      </c>
    </row>
    <row r="5697" spans="1:3" x14ac:dyDescent="0.35">
      <c r="A5697" t="s">
        <v>114</v>
      </c>
      <c r="B5697">
        <v>1994</v>
      </c>
      <c r="C5697">
        <v>241.99343477353293</v>
      </c>
    </row>
    <row r="5698" spans="1:3" x14ac:dyDescent="0.35">
      <c r="A5698" t="s">
        <v>114</v>
      </c>
      <c r="B5698">
        <v>1995</v>
      </c>
      <c r="C5698">
        <v>311.14710558754695</v>
      </c>
    </row>
    <row r="5699" spans="1:3" x14ac:dyDescent="0.35">
      <c r="A5699" t="s">
        <v>114</v>
      </c>
      <c r="B5699">
        <v>1996</v>
      </c>
      <c r="C5699">
        <v>213.6163562671104</v>
      </c>
    </row>
    <row r="5700" spans="1:3" x14ac:dyDescent="0.35">
      <c r="A5700" t="s">
        <v>114</v>
      </c>
      <c r="B5700">
        <v>1997</v>
      </c>
      <c r="C5700">
        <v>244.3693961519252</v>
      </c>
    </row>
    <row r="5701" spans="1:3" x14ac:dyDescent="0.35">
      <c r="A5701" t="s">
        <v>114</v>
      </c>
      <c r="B5701">
        <v>1998</v>
      </c>
      <c r="C5701">
        <v>320.38901133858985</v>
      </c>
    </row>
    <row r="5702" spans="1:3" x14ac:dyDescent="0.35">
      <c r="A5702" t="s">
        <v>114</v>
      </c>
      <c r="B5702">
        <v>1999</v>
      </c>
      <c r="C5702">
        <v>357.22453958331067</v>
      </c>
    </row>
    <row r="5703" spans="1:3" x14ac:dyDescent="0.35">
      <c r="A5703" t="s">
        <v>114</v>
      </c>
      <c r="B5703">
        <v>2000</v>
      </c>
      <c r="C5703">
        <v>351.34320485286918</v>
      </c>
    </row>
    <row r="5704" spans="1:3" x14ac:dyDescent="0.35">
      <c r="A5704" t="s">
        <v>114</v>
      </c>
      <c r="B5704">
        <v>2001</v>
      </c>
      <c r="C5704">
        <v>406.0035428043081</v>
      </c>
    </row>
    <row r="5705" spans="1:3" x14ac:dyDescent="0.35">
      <c r="A5705" t="s">
        <v>114</v>
      </c>
      <c r="B5705">
        <v>2002</v>
      </c>
      <c r="C5705">
        <v>455.95046654276888</v>
      </c>
    </row>
    <row r="5706" spans="1:3" x14ac:dyDescent="0.35">
      <c r="A5706" t="s">
        <v>114</v>
      </c>
      <c r="B5706">
        <v>2003</v>
      </c>
      <c r="C5706">
        <v>569.05407745137643</v>
      </c>
    </row>
    <row r="5707" spans="1:3" x14ac:dyDescent="0.35">
      <c r="A5707" t="s">
        <v>114</v>
      </c>
      <c r="B5707">
        <v>2004</v>
      </c>
      <c r="C5707">
        <v>620.90901587825613</v>
      </c>
    </row>
    <row r="5708" spans="1:3" x14ac:dyDescent="0.35">
      <c r="A5708" t="s">
        <v>114</v>
      </c>
      <c r="B5708">
        <v>2005</v>
      </c>
      <c r="C5708">
        <v>667.67039571064652</v>
      </c>
    </row>
    <row r="5709" spans="1:3" x14ac:dyDescent="0.35">
      <c r="A5709" t="s">
        <v>114</v>
      </c>
      <c r="B5709">
        <v>2006</v>
      </c>
      <c r="C5709">
        <v>715.71953542362769</v>
      </c>
    </row>
    <row r="5710" spans="1:3" x14ac:dyDescent="0.35">
      <c r="A5710" t="s">
        <v>114</v>
      </c>
      <c r="B5710">
        <v>2007</v>
      </c>
      <c r="C5710">
        <v>990.16829362163674</v>
      </c>
    </row>
    <row r="5711" spans="1:3" x14ac:dyDescent="0.35">
      <c r="A5711" t="s">
        <v>114</v>
      </c>
      <c r="B5711">
        <v>2008</v>
      </c>
      <c r="C5711">
        <v>1161.4514778030393</v>
      </c>
    </row>
    <row r="5712" spans="1:3" x14ac:dyDescent="0.35">
      <c r="A5712" t="s">
        <v>114</v>
      </c>
      <c r="B5712">
        <v>2009</v>
      </c>
      <c r="C5712">
        <v>904.96129211126834</v>
      </c>
    </row>
    <row r="5713" spans="1:3" x14ac:dyDescent="0.35">
      <c r="A5713" t="s">
        <v>114</v>
      </c>
      <c r="B5713">
        <v>2010</v>
      </c>
      <c r="C5713">
        <v>832.54929300997026</v>
      </c>
    </row>
    <row r="5714" spans="1:3" x14ac:dyDescent="0.35">
      <c r="A5714" t="s">
        <v>114</v>
      </c>
      <c r="B5714">
        <v>2011</v>
      </c>
      <c r="C5714">
        <v>757.9312600429447</v>
      </c>
    </row>
    <row r="5715" spans="1:3" x14ac:dyDescent="0.35">
      <c r="A5715" t="s">
        <v>114</v>
      </c>
      <c r="B5715">
        <v>2012</v>
      </c>
      <c r="C5715">
        <v>722.05249499030913</v>
      </c>
    </row>
    <row r="5716" spans="1:3" x14ac:dyDescent="0.35">
      <c r="A5716" t="s">
        <v>114</v>
      </c>
      <c r="B5716">
        <v>2013</v>
      </c>
      <c r="C5716">
        <v>811.63433023202163</v>
      </c>
    </row>
    <row r="5717" spans="1:3" x14ac:dyDescent="0.35">
      <c r="A5717" t="s">
        <v>114</v>
      </c>
      <c r="B5717">
        <v>2014</v>
      </c>
      <c r="C5717">
        <v>747.5325321364387</v>
      </c>
    </row>
    <row r="5718" spans="1:3" x14ac:dyDescent="0.35">
      <c r="A5718" t="s">
        <v>114</v>
      </c>
      <c r="B5718">
        <v>2015</v>
      </c>
      <c r="C5718">
        <v>632.5096350034006</v>
      </c>
    </row>
    <row r="5719" spans="1:3" x14ac:dyDescent="0.35">
      <c r="A5719" t="s">
        <v>114</v>
      </c>
      <c r="B5719">
        <v>2016</v>
      </c>
      <c r="C5719">
        <v>670.59285835972366</v>
      </c>
    </row>
    <row r="5720" spans="1:3" x14ac:dyDescent="0.35">
      <c r="A5720" t="s">
        <v>114</v>
      </c>
      <c r="B5720">
        <v>2017</v>
      </c>
      <c r="C5720">
        <v>720.03797085423992</v>
      </c>
    </row>
    <row r="5721" spans="1:3" x14ac:dyDescent="0.35">
      <c r="A5721" t="s">
        <v>114</v>
      </c>
      <c r="B5721">
        <v>2018</v>
      </c>
      <c r="C5721">
        <v>961.29727459449623</v>
      </c>
    </row>
    <row r="5722" spans="1:3" x14ac:dyDescent="0.35">
      <c r="A5722" t="s">
        <v>114</v>
      </c>
      <c r="B5722">
        <v>2019</v>
      </c>
      <c r="C5722">
        <v>2158.5575271894672</v>
      </c>
    </row>
    <row r="5723" spans="1:3" x14ac:dyDescent="0.35">
      <c r="A5723" t="s">
        <v>114</v>
      </c>
      <c r="B5723">
        <v>2020</v>
      </c>
      <c r="C5723">
        <v>1118.6638182171318</v>
      </c>
    </row>
    <row r="5724" spans="1:3" x14ac:dyDescent="0.35">
      <c r="A5724" t="s">
        <v>114</v>
      </c>
      <c r="B5724">
        <v>2021</v>
      </c>
      <c r="C5724">
        <v>1275.2641683421264</v>
      </c>
    </row>
    <row r="5725" spans="1:3" x14ac:dyDescent="0.35">
      <c r="A5725" t="s">
        <v>114</v>
      </c>
      <c r="B5725">
        <v>2022</v>
      </c>
      <c r="C5725">
        <v>1436.4497327712547</v>
      </c>
    </row>
    <row r="5726" spans="1:3" x14ac:dyDescent="0.35">
      <c r="A5726" t="s">
        <v>114</v>
      </c>
      <c r="B5726">
        <v>2023</v>
      </c>
      <c r="C5726">
        <v>1991.1920249129412</v>
      </c>
    </row>
    <row r="5727" spans="1:3" x14ac:dyDescent="0.35">
      <c r="A5727" t="s">
        <v>114</v>
      </c>
      <c r="B5727">
        <v>2024</v>
      </c>
      <c r="C5727">
        <v>2192.6698964234597</v>
      </c>
    </row>
    <row r="5728" spans="1:3" x14ac:dyDescent="0.35">
      <c r="A5728" t="s">
        <v>114</v>
      </c>
      <c r="B5728">
        <v>2025</v>
      </c>
      <c r="C5728">
        <v>2589.1554243065689</v>
      </c>
    </row>
    <row r="5729" spans="1:3" x14ac:dyDescent="0.35">
      <c r="A5729" t="s">
        <v>115</v>
      </c>
      <c r="B5729">
        <v>1992</v>
      </c>
      <c r="C5729">
        <v>36.272977871390978</v>
      </c>
    </row>
    <row r="5730" spans="1:3" x14ac:dyDescent="0.35">
      <c r="A5730" t="s">
        <v>115</v>
      </c>
      <c r="B5730">
        <v>1993</v>
      </c>
      <c r="C5730">
        <v>577.97826862798445</v>
      </c>
    </row>
    <row r="5731" spans="1:3" x14ac:dyDescent="0.35">
      <c r="A5731" t="s">
        <v>115</v>
      </c>
      <c r="B5731">
        <v>1994</v>
      </c>
      <c r="C5731">
        <v>1472.678523612818</v>
      </c>
    </row>
    <row r="5732" spans="1:3" x14ac:dyDescent="0.35">
      <c r="A5732" t="s">
        <v>115</v>
      </c>
      <c r="B5732">
        <v>1995</v>
      </c>
      <c r="C5732">
        <v>1947.6659782438012</v>
      </c>
    </row>
    <row r="5733" spans="1:3" x14ac:dyDescent="0.35">
      <c r="A5733" t="s">
        <v>115</v>
      </c>
      <c r="B5733">
        <v>1996</v>
      </c>
      <c r="C5733">
        <v>1809.8596018661738</v>
      </c>
    </row>
    <row r="5734" spans="1:3" x14ac:dyDescent="0.35">
      <c r="A5734" t="s">
        <v>115</v>
      </c>
      <c r="B5734">
        <v>1997</v>
      </c>
      <c r="C5734">
        <v>1682.9742845901792</v>
      </c>
    </row>
    <row r="5735" spans="1:3" x14ac:dyDescent="0.35">
      <c r="A5735" t="s">
        <v>115</v>
      </c>
      <c r="B5735">
        <v>1998</v>
      </c>
      <c r="C5735">
        <v>1341.1130735546953</v>
      </c>
    </row>
    <row r="5736" spans="1:3" x14ac:dyDescent="0.35">
      <c r="A5736" t="s">
        <v>115</v>
      </c>
      <c r="B5736">
        <v>1999</v>
      </c>
      <c r="C5736">
        <v>1041.7578214923669</v>
      </c>
    </row>
    <row r="5737" spans="1:3" x14ac:dyDescent="0.35">
      <c r="A5737" t="s">
        <v>115</v>
      </c>
      <c r="B5737">
        <v>2000</v>
      </c>
      <c r="C5737">
        <v>667.82047712883605</v>
      </c>
    </row>
    <row r="5738" spans="1:3" x14ac:dyDescent="0.35">
      <c r="A5738" t="s">
        <v>115</v>
      </c>
      <c r="B5738">
        <v>2001</v>
      </c>
      <c r="C5738">
        <v>623.60752936678591</v>
      </c>
    </row>
    <row r="5739" spans="1:3" x14ac:dyDescent="0.35">
      <c r="A5739" t="s">
        <v>115</v>
      </c>
      <c r="B5739">
        <v>2002</v>
      </c>
      <c r="C5739">
        <v>721.39102671590956</v>
      </c>
    </row>
    <row r="5740" spans="1:3" x14ac:dyDescent="0.35">
      <c r="A5740" t="s">
        <v>115</v>
      </c>
      <c r="B5740">
        <v>2003</v>
      </c>
      <c r="C5740">
        <v>712.49640332557078</v>
      </c>
    </row>
    <row r="5741" spans="1:3" x14ac:dyDescent="0.35">
      <c r="A5741" t="s">
        <v>115</v>
      </c>
      <c r="B5741">
        <v>2004</v>
      </c>
      <c r="C5741">
        <v>726.81008232419492</v>
      </c>
    </row>
    <row r="5742" spans="1:3" x14ac:dyDescent="0.35">
      <c r="A5742" t="s">
        <v>115</v>
      </c>
      <c r="B5742">
        <v>2005</v>
      </c>
      <c r="C5742">
        <v>784.72731845489056</v>
      </c>
    </row>
    <row r="5743" spans="1:3" x14ac:dyDescent="0.35">
      <c r="A5743" t="s">
        <v>115</v>
      </c>
      <c r="B5743">
        <v>2006</v>
      </c>
      <c r="C5743">
        <v>825.64109208290608</v>
      </c>
    </row>
    <row r="5744" spans="1:3" x14ac:dyDescent="0.35">
      <c r="A5744" t="s">
        <v>115</v>
      </c>
      <c r="B5744">
        <v>2007</v>
      </c>
      <c r="C5744">
        <v>953.88657958217698</v>
      </c>
    </row>
    <row r="5745" spans="1:3" x14ac:dyDescent="0.35">
      <c r="A5745" t="s">
        <v>115</v>
      </c>
      <c r="B5745">
        <v>2008</v>
      </c>
      <c r="C5745">
        <v>1243.4025999657929</v>
      </c>
    </row>
    <row r="5746" spans="1:3" x14ac:dyDescent="0.35">
      <c r="A5746" t="s">
        <v>115</v>
      </c>
      <c r="B5746">
        <v>2009</v>
      </c>
      <c r="C5746">
        <v>1100.0105478921544</v>
      </c>
    </row>
    <row r="5747" spans="1:3" x14ac:dyDescent="0.35">
      <c r="A5747" t="s">
        <v>115</v>
      </c>
      <c r="B5747">
        <v>2010</v>
      </c>
      <c r="C5747">
        <v>981.79932899971436</v>
      </c>
    </row>
    <row r="5748" spans="1:3" x14ac:dyDescent="0.35">
      <c r="A5748" t="s">
        <v>115</v>
      </c>
      <c r="B5748">
        <v>2011</v>
      </c>
      <c r="C5748">
        <v>1090.9239019325412</v>
      </c>
    </row>
    <row r="5749" spans="1:3" x14ac:dyDescent="0.35">
      <c r="A5749" t="s">
        <v>115</v>
      </c>
      <c r="B5749">
        <v>2012</v>
      </c>
      <c r="C5749">
        <v>953.07000201072242</v>
      </c>
    </row>
    <row r="5750" spans="1:3" x14ac:dyDescent="0.35">
      <c r="A5750" t="s">
        <v>115</v>
      </c>
      <c r="B5750">
        <v>2013</v>
      </c>
      <c r="C5750">
        <v>962.05149561384621</v>
      </c>
    </row>
    <row r="5751" spans="1:3" x14ac:dyDescent="0.35">
      <c r="A5751" t="s">
        <v>115</v>
      </c>
      <c r="B5751">
        <v>2014</v>
      </c>
      <c r="C5751">
        <v>1076.4249457247915</v>
      </c>
    </row>
    <row r="5752" spans="1:3" x14ac:dyDescent="0.35">
      <c r="A5752" t="s">
        <v>115</v>
      </c>
      <c r="B5752">
        <v>2015</v>
      </c>
      <c r="C5752">
        <v>891.54047972428748</v>
      </c>
    </row>
    <row r="5753" spans="1:3" x14ac:dyDescent="0.35">
      <c r="A5753" t="s">
        <v>115</v>
      </c>
      <c r="B5753">
        <v>2016</v>
      </c>
      <c r="C5753">
        <v>836.04568338015451</v>
      </c>
    </row>
    <row r="5754" spans="1:3" x14ac:dyDescent="0.35">
      <c r="A5754" t="s">
        <v>115</v>
      </c>
      <c r="B5754">
        <v>2017</v>
      </c>
      <c r="C5754">
        <v>911.3635214684042</v>
      </c>
    </row>
    <row r="5755" spans="1:3" x14ac:dyDescent="0.35">
      <c r="A5755" t="s">
        <v>115</v>
      </c>
      <c r="B5755">
        <v>2018</v>
      </c>
      <c r="C5755">
        <v>950.5824881790669</v>
      </c>
    </row>
    <row r="5756" spans="1:3" x14ac:dyDescent="0.35">
      <c r="A5756" t="s">
        <v>115</v>
      </c>
      <c r="B5756">
        <v>2019</v>
      </c>
      <c r="C5756">
        <v>985.76255152555882</v>
      </c>
    </row>
    <row r="5757" spans="1:3" x14ac:dyDescent="0.35">
      <c r="A5757" t="s">
        <v>115</v>
      </c>
      <c r="B5757">
        <v>2020</v>
      </c>
      <c r="C5757">
        <v>981.38932883355653</v>
      </c>
    </row>
    <row r="5758" spans="1:3" x14ac:dyDescent="0.35">
      <c r="A5758" t="s">
        <v>115</v>
      </c>
      <c r="B5758">
        <v>2021</v>
      </c>
      <c r="C5758">
        <v>1360.3460034644795</v>
      </c>
    </row>
    <row r="5759" spans="1:3" x14ac:dyDescent="0.35">
      <c r="A5759" t="s">
        <v>115</v>
      </c>
      <c r="B5759">
        <v>2022</v>
      </c>
      <c r="C5759">
        <v>1282.1106128046986</v>
      </c>
    </row>
    <row r="5760" spans="1:3" x14ac:dyDescent="0.35">
      <c r="A5760" t="s">
        <v>115</v>
      </c>
      <c r="B5760">
        <v>2023</v>
      </c>
      <c r="C5760">
        <v>1408.8098149964781</v>
      </c>
    </row>
    <row r="5761" spans="1:3" x14ac:dyDescent="0.35">
      <c r="A5761" t="s">
        <v>115</v>
      </c>
      <c r="B5761">
        <v>2024</v>
      </c>
      <c r="C5761">
        <v>1730.7363634200215</v>
      </c>
    </row>
    <row r="5762" spans="1:3" x14ac:dyDescent="0.35">
      <c r="A5762" t="s">
        <v>115</v>
      </c>
      <c r="B5762">
        <v>2025</v>
      </c>
      <c r="C5762">
        <v>2101.6176702840512</v>
      </c>
    </row>
    <row r="5763" spans="1:3" x14ac:dyDescent="0.35">
      <c r="A5763" t="s">
        <v>116</v>
      </c>
      <c r="B5763">
        <v>1993</v>
      </c>
      <c r="C5763">
        <v>815.58453437916364</v>
      </c>
    </row>
    <row r="5764" spans="1:3" x14ac:dyDescent="0.35">
      <c r="A5764" t="s">
        <v>116</v>
      </c>
      <c r="B5764">
        <v>1994</v>
      </c>
      <c r="C5764">
        <v>938.25331986185085</v>
      </c>
    </row>
    <row r="5765" spans="1:3" x14ac:dyDescent="0.35">
      <c r="A5765" t="s">
        <v>116</v>
      </c>
      <c r="B5765">
        <v>1995</v>
      </c>
      <c r="C5765">
        <v>1065.3537966893598</v>
      </c>
    </row>
    <row r="5766" spans="1:3" x14ac:dyDescent="0.35">
      <c r="A5766" t="s">
        <v>116</v>
      </c>
      <c r="B5766">
        <v>1996</v>
      </c>
      <c r="C5766">
        <v>1123.9231409195734</v>
      </c>
    </row>
    <row r="5767" spans="1:3" x14ac:dyDescent="0.35">
      <c r="A5767" t="s">
        <v>116</v>
      </c>
      <c r="B5767">
        <v>1997</v>
      </c>
      <c r="C5767">
        <v>988.32381217779232</v>
      </c>
    </row>
    <row r="5768" spans="1:3" x14ac:dyDescent="0.35">
      <c r="A5768" t="s">
        <v>116</v>
      </c>
      <c r="B5768">
        <v>1998</v>
      </c>
      <c r="C5768">
        <v>1166.1009773500568</v>
      </c>
    </row>
    <row r="5769" spans="1:3" x14ac:dyDescent="0.35">
      <c r="A5769" t="s">
        <v>116</v>
      </c>
      <c r="B5769">
        <v>1999</v>
      </c>
      <c r="C5769">
        <v>1205.9301257620575</v>
      </c>
    </row>
    <row r="5770" spans="1:3" x14ac:dyDescent="0.35">
      <c r="A5770" t="s">
        <v>116</v>
      </c>
      <c r="B5770">
        <v>2000</v>
      </c>
      <c r="C5770">
        <v>1157.2935850132042</v>
      </c>
    </row>
    <row r="5771" spans="1:3" x14ac:dyDescent="0.35">
      <c r="A5771" t="s">
        <v>116</v>
      </c>
      <c r="B5771">
        <v>2001</v>
      </c>
      <c r="C5771">
        <v>1182.5190413982241</v>
      </c>
    </row>
    <row r="5772" spans="1:3" x14ac:dyDescent="0.35">
      <c r="A5772" t="s">
        <v>116</v>
      </c>
      <c r="B5772">
        <v>2002</v>
      </c>
      <c r="C5772">
        <v>1494.3895597800179</v>
      </c>
    </row>
    <row r="5773" spans="1:3" x14ac:dyDescent="0.35">
      <c r="A5773" t="s">
        <v>116</v>
      </c>
      <c r="B5773">
        <v>2003</v>
      </c>
      <c r="C5773">
        <v>1885.7066893544613</v>
      </c>
    </row>
    <row r="5774" spans="1:3" x14ac:dyDescent="0.35">
      <c r="A5774" t="s">
        <v>116</v>
      </c>
      <c r="B5774">
        <v>2004</v>
      </c>
      <c r="C5774">
        <v>2042.0899035982841</v>
      </c>
    </row>
    <row r="5775" spans="1:3" x14ac:dyDescent="0.35">
      <c r="A5775" t="s">
        <v>116</v>
      </c>
      <c r="B5775">
        <v>2005</v>
      </c>
      <c r="C5775">
        <v>2439.5368170608335</v>
      </c>
    </row>
    <row r="5776" spans="1:3" x14ac:dyDescent="0.35">
      <c r="A5776" t="s">
        <v>116</v>
      </c>
      <c r="B5776">
        <v>2006</v>
      </c>
      <c r="C5776">
        <v>2449.9655168598624</v>
      </c>
    </row>
    <row r="5777" spans="1:3" x14ac:dyDescent="0.35">
      <c r="A5777" t="s">
        <v>116</v>
      </c>
      <c r="B5777">
        <v>2007</v>
      </c>
      <c r="C5777">
        <v>2707.6821997010652</v>
      </c>
    </row>
    <row r="5778" spans="1:3" x14ac:dyDescent="0.35">
      <c r="A5778" t="s">
        <v>116</v>
      </c>
      <c r="B5778">
        <v>2008</v>
      </c>
      <c r="C5778">
        <v>2918.7015522796169</v>
      </c>
    </row>
    <row r="5779" spans="1:3" x14ac:dyDescent="0.35">
      <c r="A5779" t="s">
        <v>116</v>
      </c>
      <c r="B5779">
        <v>2009</v>
      </c>
      <c r="C5779">
        <v>2718.5595131930968</v>
      </c>
    </row>
    <row r="5780" spans="1:3" x14ac:dyDescent="0.35">
      <c r="A5780" t="s">
        <v>116</v>
      </c>
      <c r="B5780">
        <v>2010</v>
      </c>
      <c r="C5780">
        <v>2497.9094943253963</v>
      </c>
    </row>
    <row r="5781" spans="1:3" x14ac:dyDescent="0.35">
      <c r="A5781" t="s">
        <v>116</v>
      </c>
      <c r="B5781">
        <v>2011</v>
      </c>
      <c r="C5781">
        <v>2474.3109286040653</v>
      </c>
    </row>
    <row r="5782" spans="1:3" x14ac:dyDescent="0.35">
      <c r="A5782" t="s">
        <v>116</v>
      </c>
      <c r="B5782">
        <v>2012</v>
      </c>
      <c r="C5782">
        <v>2220.6103945856212</v>
      </c>
    </row>
    <row r="5783" spans="1:3" x14ac:dyDescent="0.35">
      <c r="A5783" t="s">
        <v>116</v>
      </c>
      <c r="B5783">
        <v>2013</v>
      </c>
      <c r="C5783">
        <v>2148.786231035529</v>
      </c>
    </row>
    <row r="5784" spans="1:3" x14ac:dyDescent="0.35">
      <c r="A5784" t="s">
        <v>116</v>
      </c>
      <c r="B5784">
        <v>2014</v>
      </c>
      <c r="C5784">
        <v>2022.883295194508</v>
      </c>
    </row>
    <row r="5785" spans="1:3" x14ac:dyDescent="0.35">
      <c r="A5785" t="s">
        <v>116</v>
      </c>
      <c r="B5785">
        <v>2015</v>
      </c>
      <c r="C5785">
        <v>1779.8871893897049</v>
      </c>
    </row>
    <row r="5786" spans="1:3" x14ac:dyDescent="0.35">
      <c r="A5786" t="s">
        <v>116</v>
      </c>
      <c r="B5786">
        <v>2016</v>
      </c>
      <c r="C5786">
        <v>1955.121232682877</v>
      </c>
    </row>
    <row r="5787" spans="1:3" x14ac:dyDescent="0.35">
      <c r="A5787" t="s">
        <v>116</v>
      </c>
      <c r="B5787">
        <v>2017</v>
      </c>
      <c r="C5787">
        <v>2091.525617077104</v>
      </c>
    </row>
    <row r="5788" spans="1:3" x14ac:dyDescent="0.35">
      <c r="A5788" t="s">
        <v>116</v>
      </c>
      <c r="B5788">
        <v>2018</v>
      </c>
      <c r="C5788">
        <v>2751.9203555773806</v>
      </c>
    </row>
    <row r="5789" spans="1:3" x14ac:dyDescent="0.35">
      <c r="A5789" t="s">
        <v>116</v>
      </c>
      <c r="B5789">
        <v>2019</v>
      </c>
      <c r="C5789">
        <v>2979.254107207099</v>
      </c>
    </row>
    <row r="5790" spans="1:3" x14ac:dyDescent="0.35">
      <c r="A5790" t="s">
        <v>116</v>
      </c>
      <c r="B5790">
        <v>2020</v>
      </c>
      <c r="C5790">
        <v>3201.6458245818121</v>
      </c>
    </row>
    <row r="5791" spans="1:3" x14ac:dyDescent="0.35">
      <c r="A5791" t="s">
        <v>116</v>
      </c>
      <c r="B5791">
        <v>2021</v>
      </c>
      <c r="C5791">
        <v>3918.4125348853427</v>
      </c>
    </row>
    <row r="5792" spans="1:3" x14ac:dyDescent="0.35">
      <c r="A5792" t="s">
        <v>116</v>
      </c>
      <c r="B5792">
        <v>2022</v>
      </c>
      <c r="C5792">
        <v>3887.7852463929444</v>
      </c>
    </row>
    <row r="5793" spans="1:3" x14ac:dyDescent="0.35">
      <c r="A5793" t="s">
        <v>116</v>
      </c>
      <c r="B5793">
        <v>2023</v>
      </c>
      <c r="C5793">
        <v>4536.2474988456279</v>
      </c>
    </row>
    <row r="5794" spans="1:3" x14ac:dyDescent="0.35">
      <c r="A5794" t="s">
        <v>116</v>
      </c>
      <c r="B5794">
        <v>2024</v>
      </c>
      <c r="C5794">
        <v>6511.6976906124237</v>
      </c>
    </row>
    <row r="5795" spans="1:3" x14ac:dyDescent="0.35">
      <c r="A5795" t="s">
        <v>116</v>
      </c>
      <c r="B5795">
        <v>2025</v>
      </c>
      <c r="C5795">
        <v>7051.4811330233752</v>
      </c>
    </row>
    <row r="5796" spans="1:3" x14ac:dyDescent="0.35">
      <c r="A5796" t="s">
        <v>117</v>
      </c>
      <c r="B5796">
        <v>1990</v>
      </c>
      <c r="C5796">
        <v>2334.2618384401117</v>
      </c>
    </row>
    <row r="5797" spans="1:3" x14ac:dyDescent="0.35">
      <c r="A5797" t="s">
        <v>118</v>
      </c>
      <c r="B5797">
        <v>1993</v>
      </c>
      <c r="C5797">
        <v>13.146559884887729</v>
      </c>
    </row>
    <row r="5798" spans="1:3" x14ac:dyDescent="0.35">
      <c r="A5798" t="s">
        <v>118</v>
      </c>
      <c r="B5798">
        <v>1994</v>
      </c>
      <c r="C5798">
        <v>25.13573537984227</v>
      </c>
    </row>
    <row r="5799" spans="1:3" x14ac:dyDescent="0.35">
      <c r="A5799" t="s">
        <v>118</v>
      </c>
      <c r="B5799">
        <v>1995</v>
      </c>
      <c r="C5799">
        <v>36.343487582755472</v>
      </c>
    </row>
    <row r="5800" spans="1:3" x14ac:dyDescent="0.35">
      <c r="A5800" t="s">
        <v>118</v>
      </c>
      <c r="B5800">
        <v>1996</v>
      </c>
      <c r="C5800">
        <v>41.436607709184678</v>
      </c>
    </row>
    <row r="5801" spans="1:3" x14ac:dyDescent="0.35">
      <c r="A5801" t="s">
        <v>118</v>
      </c>
      <c r="B5801">
        <v>1997</v>
      </c>
      <c r="C5801">
        <v>53.031652175481227</v>
      </c>
    </row>
    <row r="5802" spans="1:3" x14ac:dyDescent="0.35">
      <c r="A5802" t="s">
        <v>118</v>
      </c>
      <c r="B5802">
        <v>1998</v>
      </c>
      <c r="C5802">
        <v>59.919847476751876</v>
      </c>
    </row>
    <row r="5803" spans="1:3" x14ac:dyDescent="0.35">
      <c r="A5803" t="s">
        <v>118</v>
      </c>
      <c r="B5803">
        <v>1999</v>
      </c>
      <c r="C5803">
        <v>73.783703486483191</v>
      </c>
    </row>
    <row r="5804" spans="1:3" x14ac:dyDescent="0.35">
      <c r="A5804" t="s">
        <v>118</v>
      </c>
      <c r="B5804">
        <v>2000</v>
      </c>
      <c r="C5804">
        <v>78.442413788234745</v>
      </c>
    </row>
    <row r="5805" spans="1:3" x14ac:dyDescent="0.35">
      <c r="A5805" t="s">
        <v>118</v>
      </c>
      <c r="B5805">
        <v>2001</v>
      </c>
      <c r="C5805">
        <v>93.861974488194122</v>
      </c>
    </row>
    <row r="5806" spans="1:3" x14ac:dyDescent="0.35">
      <c r="A5806" t="s">
        <v>118</v>
      </c>
      <c r="B5806">
        <v>2002</v>
      </c>
      <c r="C5806">
        <v>122.54635482353081</v>
      </c>
    </row>
    <row r="5807" spans="1:3" x14ac:dyDescent="0.35">
      <c r="A5807" t="s">
        <v>118</v>
      </c>
      <c r="B5807">
        <v>2003</v>
      </c>
      <c r="C5807">
        <v>171.71014752941741</v>
      </c>
    </row>
    <row r="5808" spans="1:3" x14ac:dyDescent="0.35">
      <c r="A5808" t="s">
        <v>118</v>
      </c>
      <c r="B5808">
        <v>2004</v>
      </c>
      <c r="C5808">
        <v>205.2438822393797</v>
      </c>
    </row>
    <row r="5809" spans="1:3" x14ac:dyDescent="0.35">
      <c r="A5809" t="s">
        <v>118</v>
      </c>
      <c r="B5809">
        <v>2005</v>
      </c>
      <c r="C5809">
        <v>204.63172350417597</v>
      </c>
    </row>
    <row r="5810" spans="1:3" x14ac:dyDescent="0.35">
      <c r="A5810" t="s">
        <v>118</v>
      </c>
      <c r="B5810">
        <v>2006</v>
      </c>
      <c r="C5810">
        <v>236.40078830130895</v>
      </c>
    </row>
    <row r="5811" spans="1:3" x14ac:dyDescent="0.35">
      <c r="A5811" t="s">
        <v>118</v>
      </c>
      <c r="B5811">
        <v>2007</v>
      </c>
      <c r="C5811">
        <v>372.52694825638122</v>
      </c>
    </row>
    <row r="5812" spans="1:3" x14ac:dyDescent="0.35">
      <c r="A5812" t="s">
        <v>118</v>
      </c>
      <c r="B5812">
        <v>2008</v>
      </c>
      <c r="C5812">
        <v>431.92267833946408</v>
      </c>
    </row>
    <row r="5813" spans="1:3" x14ac:dyDescent="0.35">
      <c r="A5813" t="s">
        <v>118</v>
      </c>
      <c r="B5813">
        <v>2009</v>
      </c>
      <c r="C5813">
        <v>354.61023316367482</v>
      </c>
    </row>
    <row r="5814" spans="1:3" x14ac:dyDescent="0.35">
      <c r="A5814" t="s">
        <v>118</v>
      </c>
      <c r="B5814">
        <v>2010</v>
      </c>
      <c r="C5814">
        <v>332.30610910145339</v>
      </c>
    </row>
    <row r="5815" spans="1:3" x14ac:dyDescent="0.35">
      <c r="A5815" t="s">
        <v>118</v>
      </c>
      <c r="B5815">
        <v>2011</v>
      </c>
      <c r="C5815">
        <v>389.74747081712411</v>
      </c>
    </row>
    <row r="5816" spans="1:3" x14ac:dyDescent="0.35">
      <c r="A5816" t="s">
        <v>118</v>
      </c>
      <c r="B5816">
        <v>2012</v>
      </c>
      <c r="C5816">
        <v>436.82814843750015</v>
      </c>
    </row>
    <row r="5817" spans="1:3" x14ac:dyDescent="0.35">
      <c r="A5817" t="s">
        <v>118</v>
      </c>
      <c r="B5817">
        <v>2013</v>
      </c>
      <c r="C5817">
        <v>479.45061215686792</v>
      </c>
    </row>
    <row r="5818" spans="1:3" x14ac:dyDescent="0.35">
      <c r="A5818" t="s">
        <v>118</v>
      </c>
      <c r="B5818">
        <v>2014</v>
      </c>
      <c r="C5818">
        <v>512.80130274508872</v>
      </c>
    </row>
    <row r="5819" spans="1:3" x14ac:dyDescent="0.35">
      <c r="A5819" t="s">
        <v>118</v>
      </c>
      <c r="B5819">
        <v>2015</v>
      </c>
      <c r="C5819">
        <v>463.77638828125032</v>
      </c>
    </row>
    <row r="5820" spans="1:3" x14ac:dyDescent="0.35">
      <c r="A5820" t="s">
        <v>118</v>
      </c>
      <c r="B5820">
        <v>2016</v>
      </c>
      <c r="C5820">
        <v>498.10640077822512</v>
      </c>
    </row>
    <row r="5821" spans="1:3" x14ac:dyDescent="0.35">
      <c r="A5821" t="s">
        <v>118</v>
      </c>
      <c r="B5821">
        <v>2017</v>
      </c>
      <c r="C5821">
        <v>541.11728352941759</v>
      </c>
    </row>
    <row r="5822" spans="1:3" x14ac:dyDescent="0.35">
      <c r="A5822" t="s">
        <v>118</v>
      </c>
      <c r="B5822">
        <v>2018</v>
      </c>
      <c r="C5822">
        <v>615.27729960783245</v>
      </c>
    </row>
    <row r="5823" spans="1:3" x14ac:dyDescent="0.35">
      <c r="A5823" t="s">
        <v>118</v>
      </c>
      <c r="B5823">
        <v>2019</v>
      </c>
      <c r="C5823">
        <v>636.98099607841971</v>
      </c>
    </row>
    <row r="5824" spans="1:3" x14ac:dyDescent="0.35">
      <c r="A5824" t="s">
        <v>118</v>
      </c>
      <c r="B5824">
        <v>2020</v>
      </c>
      <c r="C5824">
        <v>719.58354863812201</v>
      </c>
    </row>
    <row r="5825" spans="1:3" x14ac:dyDescent="0.35">
      <c r="A5825" t="s">
        <v>118</v>
      </c>
      <c r="B5825">
        <v>2021</v>
      </c>
      <c r="C5825">
        <v>748.67461627905777</v>
      </c>
    </row>
    <row r="5826" spans="1:3" x14ac:dyDescent="0.35">
      <c r="A5826" t="s">
        <v>118</v>
      </c>
      <c r="B5826">
        <v>2022</v>
      </c>
      <c r="C5826">
        <v>819.27184046693014</v>
      </c>
    </row>
    <row r="5827" spans="1:3" x14ac:dyDescent="0.35">
      <c r="A5827" t="s">
        <v>118</v>
      </c>
      <c r="B5827">
        <v>2023</v>
      </c>
      <c r="C5827">
        <v>1236.9713098039449</v>
      </c>
    </row>
    <row r="5828" spans="1:3" x14ac:dyDescent="0.35">
      <c r="A5828" t="s">
        <v>118</v>
      </c>
      <c r="B5828">
        <v>2024</v>
      </c>
      <c r="C5828">
        <v>1424.4126968750013</v>
      </c>
    </row>
    <row r="5829" spans="1:3" x14ac:dyDescent="0.35">
      <c r="A5829" t="s">
        <v>118</v>
      </c>
      <c r="B5829">
        <v>2025</v>
      </c>
      <c r="C5829">
        <v>1575.9312320916906</v>
      </c>
    </row>
    <row r="5830" spans="1:3" x14ac:dyDescent="0.35">
      <c r="A5830" t="s">
        <v>119</v>
      </c>
      <c r="B5830">
        <v>1968</v>
      </c>
      <c r="C5830">
        <v>150.16666666666666</v>
      </c>
    </row>
    <row r="5831" spans="1:3" x14ac:dyDescent="0.35">
      <c r="A5831" t="s">
        <v>119</v>
      </c>
      <c r="B5831">
        <v>1969</v>
      </c>
      <c r="C5831">
        <v>173.33333333333334</v>
      </c>
    </row>
    <row r="5832" spans="1:3" x14ac:dyDescent="0.35">
      <c r="A5832" t="s">
        <v>119</v>
      </c>
      <c r="B5832">
        <v>1970</v>
      </c>
      <c r="C5832">
        <v>223.33333333333334</v>
      </c>
    </row>
    <row r="5833" spans="1:3" x14ac:dyDescent="0.35">
      <c r="A5833" t="s">
        <v>119</v>
      </c>
      <c r="B5833">
        <v>1971</v>
      </c>
      <c r="C5833">
        <v>225.67099509207378</v>
      </c>
    </row>
    <row r="5834" spans="1:3" x14ac:dyDescent="0.35">
      <c r="A5834" t="s">
        <v>119</v>
      </c>
      <c r="B5834">
        <v>1972</v>
      </c>
      <c r="C5834">
        <v>231.63228374954761</v>
      </c>
    </row>
    <row r="5835" spans="1:3" x14ac:dyDescent="0.35">
      <c r="A5835" t="s">
        <v>119</v>
      </c>
      <c r="B5835">
        <v>1973</v>
      </c>
      <c r="C5835">
        <v>263.447030809007</v>
      </c>
    </row>
    <row r="5836" spans="1:3" x14ac:dyDescent="0.35">
      <c r="A5836" t="s">
        <v>119</v>
      </c>
      <c r="B5836">
        <v>1974</v>
      </c>
      <c r="C5836">
        <v>308.00557832325183</v>
      </c>
    </row>
    <row r="5837" spans="1:3" x14ac:dyDescent="0.35">
      <c r="A5837" t="s">
        <v>119</v>
      </c>
      <c r="B5837">
        <v>1975</v>
      </c>
      <c r="C5837">
        <v>366.1470865153259</v>
      </c>
    </row>
    <row r="5838" spans="1:3" x14ac:dyDescent="0.35">
      <c r="A5838" t="s">
        <v>119</v>
      </c>
      <c r="B5838">
        <v>1976</v>
      </c>
      <c r="C5838">
        <v>382.43861138704955</v>
      </c>
    </row>
    <row r="5839" spans="1:3" x14ac:dyDescent="0.35">
      <c r="A5839" t="s">
        <v>119</v>
      </c>
      <c r="B5839">
        <v>1977</v>
      </c>
      <c r="C5839">
        <v>419.91469872341048</v>
      </c>
    </row>
    <row r="5840" spans="1:3" x14ac:dyDescent="0.35">
      <c r="A5840" t="s">
        <v>119</v>
      </c>
      <c r="B5840">
        <v>1978</v>
      </c>
      <c r="C5840">
        <v>538.09813960481438</v>
      </c>
    </row>
    <row r="5841" spans="1:3" x14ac:dyDescent="0.35">
      <c r="A5841" t="s">
        <v>119</v>
      </c>
      <c r="B5841">
        <v>1979</v>
      </c>
      <c r="C5841">
        <v>621.17038619371522</v>
      </c>
    </row>
    <row r="5842" spans="1:3" x14ac:dyDescent="0.35">
      <c r="A5842" t="s">
        <v>119</v>
      </c>
      <c r="B5842">
        <v>1980</v>
      </c>
      <c r="C5842">
        <v>740.80221810323894</v>
      </c>
    </row>
    <row r="5843" spans="1:3" x14ac:dyDescent="0.35">
      <c r="A5843" t="s">
        <v>119</v>
      </c>
      <c r="B5843">
        <v>1981</v>
      </c>
      <c r="C5843">
        <v>757.70159962464618</v>
      </c>
    </row>
    <row r="5844" spans="1:3" x14ac:dyDescent="0.35">
      <c r="A5844" t="s">
        <v>119</v>
      </c>
      <c r="B5844">
        <v>1982</v>
      </c>
      <c r="C5844">
        <v>750.74050313263547</v>
      </c>
    </row>
    <row r="5845" spans="1:3" x14ac:dyDescent="0.35">
      <c r="A5845" t="s">
        <v>119</v>
      </c>
      <c r="B5845">
        <v>1983</v>
      </c>
      <c r="C5845">
        <v>700.7084420134471</v>
      </c>
    </row>
    <row r="5846" spans="1:3" x14ac:dyDescent="0.35">
      <c r="A5846" t="s">
        <v>119</v>
      </c>
      <c r="B5846">
        <v>1984</v>
      </c>
      <c r="C5846">
        <v>641.10303025256951</v>
      </c>
    </row>
    <row r="5847" spans="1:3" x14ac:dyDescent="0.35">
      <c r="A5847" t="s">
        <v>119</v>
      </c>
      <c r="B5847">
        <v>1985</v>
      </c>
      <c r="C5847">
        <v>1025.5509842496119</v>
      </c>
    </row>
    <row r="5848" spans="1:3" x14ac:dyDescent="0.35">
      <c r="A5848" t="s">
        <v>119</v>
      </c>
      <c r="B5848">
        <v>1986</v>
      </c>
      <c r="C5848">
        <v>765.83878984379942</v>
      </c>
    </row>
    <row r="5849" spans="1:3" x14ac:dyDescent="0.35">
      <c r="A5849" t="s">
        <v>119</v>
      </c>
      <c r="B5849">
        <v>1987</v>
      </c>
      <c r="C5849">
        <v>823.92139747288195</v>
      </c>
    </row>
    <row r="5850" spans="1:3" x14ac:dyDescent="0.35">
      <c r="A5850" t="s">
        <v>119</v>
      </c>
      <c r="B5850">
        <v>1988</v>
      </c>
      <c r="C5850">
        <v>1027.5086683646346</v>
      </c>
    </row>
    <row r="5851" spans="1:3" x14ac:dyDescent="0.35">
      <c r="A5851" t="s">
        <v>119</v>
      </c>
      <c r="B5851">
        <v>1989</v>
      </c>
      <c r="C5851">
        <v>812.64612816445253</v>
      </c>
    </row>
    <row r="5852" spans="1:3" x14ac:dyDescent="0.35">
      <c r="A5852" t="s">
        <v>119</v>
      </c>
      <c r="B5852">
        <v>1990</v>
      </c>
      <c r="C5852">
        <v>847.38924688992643</v>
      </c>
    </row>
    <row r="5853" spans="1:3" x14ac:dyDescent="0.35">
      <c r="A5853" t="s">
        <v>119</v>
      </c>
      <c r="B5853">
        <v>1991</v>
      </c>
      <c r="C5853">
        <v>722.54915341324204</v>
      </c>
    </row>
    <row r="5854" spans="1:3" x14ac:dyDescent="0.35">
      <c r="A5854" t="s">
        <v>119</v>
      </c>
      <c r="B5854">
        <v>1992</v>
      </c>
      <c r="C5854">
        <v>812.01796719518313</v>
      </c>
    </row>
    <row r="5855" spans="1:3" x14ac:dyDescent="0.35">
      <c r="A5855" t="s">
        <v>119</v>
      </c>
      <c r="B5855">
        <v>1993</v>
      </c>
      <c r="C5855">
        <v>735.86038558431562</v>
      </c>
    </row>
    <row r="5856" spans="1:3" x14ac:dyDescent="0.35">
      <c r="A5856" t="s">
        <v>119</v>
      </c>
      <c r="B5856">
        <v>1994</v>
      </c>
      <c r="C5856">
        <v>757.13198934956267</v>
      </c>
    </row>
    <row r="5857" spans="1:3" x14ac:dyDescent="0.35">
      <c r="A5857" t="s">
        <v>119</v>
      </c>
      <c r="B5857">
        <v>1995</v>
      </c>
      <c r="C5857">
        <v>612.18481711635013</v>
      </c>
    </row>
    <row r="5858" spans="1:3" x14ac:dyDescent="0.35">
      <c r="A5858" t="s">
        <v>119</v>
      </c>
      <c r="B5858">
        <v>1996</v>
      </c>
      <c r="C5858">
        <v>585.2719018388832</v>
      </c>
    </row>
    <row r="5859" spans="1:3" x14ac:dyDescent="0.35">
      <c r="A5859" t="s">
        <v>119</v>
      </c>
      <c r="B5859">
        <v>1997</v>
      </c>
      <c r="C5859">
        <v>695.97246090508543</v>
      </c>
    </row>
    <row r="5860" spans="1:3" x14ac:dyDescent="0.35">
      <c r="A5860" t="s">
        <v>119</v>
      </c>
      <c r="B5860">
        <v>1998</v>
      </c>
      <c r="C5860">
        <v>618.46437999645536</v>
      </c>
    </row>
    <row r="5861" spans="1:3" x14ac:dyDescent="0.35">
      <c r="A5861" t="s">
        <v>119</v>
      </c>
      <c r="B5861">
        <v>1999</v>
      </c>
      <c r="C5861">
        <v>702.94249112361172</v>
      </c>
    </row>
    <row r="5862" spans="1:3" x14ac:dyDescent="0.35">
      <c r="A5862" t="s">
        <v>119</v>
      </c>
      <c r="B5862">
        <v>2000</v>
      </c>
      <c r="C5862">
        <v>715.85766481559585</v>
      </c>
    </row>
    <row r="5863" spans="1:3" x14ac:dyDescent="0.35">
      <c r="A5863" t="s">
        <v>119</v>
      </c>
      <c r="B5863">
        <v>2001</v>
      </c>
      <c r="C5863">
        <v>845.05567384550943</v>
      </c>
    </row>
    <row r="5864" spans="1:3" x14ac:dyDescent="0.35">
      <c r="A5864" t="s">
        <v>119</v>
      </c>
      <c r="B5864">
        <v>2002</v>
      </c>
      <c r="C5864">
        <v>1079.1548236243004</v>
      </c>
    </row>
    <row r="5865" spans="1:3" x14ac:dyDescent="0.35">
      <c r="A5865" t="s">
        <v>119</v>
      </c>
      <c r="B5865">
        <v>2003</v>
      </c>
      <c r="C5865">
        <v>1401.5612531040049</v>
      </c>
    </row>
    <row r="5866" spans="1:3" x14ac:dyDescent="0.35">
      <c r="A5866" t="s">
        <v>119</v>
      </c>
      <c r="B5866">
        <v>2004</v>
      </c>
      <c r="C5866">
        <v>1532.6122340268118</v>
      </c>
    </row>
    <row r="5867" spans="1:3" x14ac:dyDescent="0.35">
      <c r="A5867" t="s">
        <v>119</v>
      </c>
      <c r="B5867">
        <v>2005</v>
      </c>
      <c r="C5867">
        <v>1596.0878431529738</v>
      </c>
    </row>
    <row r="5868" spans="1:3" x14ac:dyDescent="0.35">
      <c r="A5868" t="s">
        <v>119</v>
      </c>
      <c r="B5868">
        <v>2006</v>
      </c>
      <c r="C5868">
        <v>1410.0717714720283</v>
      </c>
    </row>
    <row r="5869" spans="1:3" x14ac:dyDescent="0.35">
      <c r="A5869" t="s">
        <v>119</v>
      </c>
      <c r="B5869">
        <v>2007</v>
      </c>
      <c r="C5869">
        <v>1776.4641172818663</v>
      </c>
    </row>
    <row r="5870" spans="1:3" x14ac:dyDescent="0.35">
      <c r="A5870" t="s">
        <v>119</v>
      </c>
      <c r="B5870">
        <v>2008</v>
      </c>
      <c r="C5870">
        <v>1867.8774990849035</v>
      </c>
    </row>
    <row r="5871" spans="1:3" x14ac:dyDescent="0.35">
      <c r="A5871" t="s">
        <v>119</v>
      </c>
      <c r="B5871">
        <v>2009</v>
      </c>
      <c r="C5871">
        <v>1475.8181692382204</v>
      </c>
    </row>
    <row r="5872" spans="1:3" x14ac:dyDescent="0.35">
      <c r="A5872" t="s">
        <v>119</v>
      </c>
      <c r="B5872">
        <v>2010</v>
      </c>
      <c r="C5872">
        <v>1350.8204131881662</v>
      </c>
    </row>
    <row r="5873" spans="1:3" x14ac:dyDescent="0.35">
      <c r="A5873" t="s">
        <v>119</v>
      </c>
      <c r="B5873">
        <v>2011</v>
      </c>
      <c r="C5873">
        <v>1472.069831638109</v>
      </c>
    </row>
    <row r="5874" spans="1:3" x14ac:dyDescent="0.35">
      <c r="A5874" t="s">
        <v>119</v>
      </c>
      <c r="B5874">
        <v>2012</v>
      </c>
      <c r="C5874">
        <v>1322.2777027507284</v>
      </c>
    </row>
    <row r="5875" spans="1:3" x14ac:dyDescent="0.35">
      <c r="A5875" t="s">
        <v>119</v>
      </c>
      <c r="B5875">
        <v>2013</v>
      </c>
      <c r="C5875">
        <v>1280.0509622477034</v>
      </c>
    </row>
    <row r="5876" spans="1:3" x14ac:dyDescent="0.35">
      <c r="A5876" t="s">
        <v>119</v>
      </c>
      <c r="B5876">
        <v>2014</v>
      </c>
      <c r="C5876">
        <v>1209.8018902128802</v>
      </c>
    </row>
    <row r="5877" spans="1:3" x14ac:dyDescent="0.35">
      <c r="A5877" t="s">
        <v>119</v>
      </c>
      <c r="B5877">
        <v>2015</v>
      </c>
      <c r="C5877">
        <v>1132.4762917378182</v>
      </c>
    </row>
    <row r="5878" spans="1:3" x14ac:dyDescent="0.35">
      <c r="A5878" t="s">
        <v>119</v>
      </c>
      <c r="B5878">
        <v>2016</v>
      </c>
      <c r="C5878">
        <v>1288.6960228281862</v>
      </c>
    </row>
    <row r="5879" spans="1:3" x14ac:dyDescent="0.35">
      <c r="A5879" t="s">
        <v>119</v>
      </c>
      <c r="B5879">
        <v>2017</v>
      </c>
      <c r="C5879">
        <v>1708.1197619336835</v>
      </c>
    </row>
    <row r="5880" spans="1:3" x14ac:dyDescent="0.35">
      <c r="A5880" t="s">
        <v>119</v>
      </c>
      <c r="B5880">
        <v>2018</v>
      </c>
      <c r="C5880">
        <v>1615.400272625785</v>
      </c>
    </row>
    <row r="5881" spans="1:3" x14ac:dyDescent="0.35">
      <c r="A5881" t="s">
        <v>119</v>
      </c>
      <c r="B5881">
        <v>2019</v>
      </c>
      <c r="C5881">
        <v>2190.0708731851646</v>
      </c>
    </row>
    <row r="5882" spans="1:3" x14ac:dyDescent="0.35">
      <c r="A5882" t="s">
        <v>119</v>
      </c>
      <c r="B5882">
        <v>2020</v>
      </c>
      <c r="C5882">
        <v>2767.3059232242831</v>
      </c>
    </row>
    <row r="5883" spans="1:3" x14ac:dyDescent="0.35">
      <c r="A5883" t="s">
        <v>119</v>
      </c>
      <c r="B5883">
        <v>2021</v>
      </c>
      <c r="C5883">
        <v>2410.4011061965175</v>
      </c>
    </row>
    <row r="5884" spans="1:3" x14ac:dyDescent="0.35">
      <c r="A5884" t="s">
        <v>119</v>
      </c>
      <c r="B5884">
        <v>2022</v>
      </c>
      <c r="C5884">
        <v>3255.3074712322359</v>
      </c>
    </row>
    <row r="5885" spans="1:3" x14ac:dyDescent="0.35">
      <c r="A5885" t="s">
        <v>119</v>
      </c>
      <c r="B5885">
        <v>2023</v>
      </c>
      <c r="C5885">
        <v>4358.4221134465915</v>
      </c>
    </row>
    <row r="5886" spans="1:3" x14ac:dyDescent="0.35">
      <c r="A5886" t="s">
        <v>119</v>
      </c>
      <c r="B5886">
        <v>2024</v>
      </c>
      <c r="C5886">
        <v>4732.6808392335097</v>
      </c>
    </row>
    <row r="5887" spans="1:3" x14ac:dyDescent="0.35">
      <c r="A5887" t="s">
        <v>119</v>
      </c>
      <c r="B5887">
        <v>2025</v>
      </c>
      <c r="C5887">
        <v>5001.9836322005858</v>
      </c>
    </row>
    <row r="5888" spans="1:3" x14ac:dyDescent="0.35">
      <c r="A5888" t="s">
        <v>120</v>
      </c>
      <c r="B5888">
        <v>2008</v>
      </c>
      <c r="C5888">
        <v>0.92723477496612583</v>
      </c>
    </row>
    <row r="5889" spans="1:3" x14ac:dyDescent="0.35">
      <c r="A5889" t="s">
        <v>120</v>
      </c>
      <c r="B5889">
        <v>2009</v>
      </c>
      <c r="C5889">
        <v>27.227085628393972</v>
      </c>
    </row>
    <row r="5890" spans="1:3" x14ac:dyDescent="0.35">
      <c r="A5890" t="s">
        <v>120</v>
      </c>
      <c r="B5890">
        <v>2010</v>
      </c>
      <c r="C5890">
        <v>38.578120509373612</v>
      </c>
    </row>
    <row r="5891" spans="1:3" x14ac:dyDescent="0.35">
      <c r="A5891" t="s">
        <v>120</v>
      </c>
      <c r="B5891">
        <v>2011</v>
      </c>
      <c r="C5891">
        <v>50.968863773797366</v>
      </c>
    </row>
    <row r="5892" spans="1:3" x14ac:dyDescent="0.35">
      <c r="A5892" t="s">
        <v>120</v>
      </c>
      <c r="B5892">
        <v>2012</v>
      </c>
      <c r="C5892">
        <v>43.390403883365408</v>
      </c>
    </row>
    <row r="5893" spans="1:3" x14ac:dyDescent="0.35">
      <c r="A5893" t="s">
        <v>120</v>
      </c>
      <c r="B5893">
        <v>2013</v>
      </c>
      <c r="C5893">
        <v>48.59768123331196</v>
      </c>
    </row>
    <row r="5894" spans="1:3" x14ac:dyDescent="0.35">
      <c r="A5894" t="s">
        <v>120</v>
      </c>
      <c r="B5894">
        <v>2014</v>
      </c>
      <c r="C5894">
        <v>53.575787744880238</v>
      </c>
    </row>
    <row r="5895" spans="1:3" x14ac:dyDescent="0.35">
      <c r="A5895" t="s">
        <v>120</v>
      </c>
      <c r="B5895">
        <v>2015</v>
      </c>
      <c r="C5895">
        <v>49.984164356216034</v>
      </c>
    </row>
    <row r="5896" spans="1:3" x14ac:dyDescent="0.35">
      <c r="A5896" t="s">
        <v>120</v>
      </c>
      <c r="B5896">
        <v>2016</v>
      </c>
      <c r="C5896">
        <v>51.937624419376249</v>
      </c>
    </row>
    <row r="5897" spans="1:3" x14ac:dyDescent="0.35">
      <c r="A5897" t="s">
        <v>120</v>
      </c>
      <c r="B5897">
        <v>2017</v>
      </c>
      <c r="C5897">
        <v>57.262629271565096</v>
      </c>
    </row>
    <row r="5898" spans="1:3" x14ac:dyDescent="0.35">
      <c r="A5898" t="s">
        <v>120</v>
      </c>
      <c r="B5898">
        <v>2018</v>
      </c>
      <c r="C5898">
        <v>63.344074218335038</v>
      </c>
    </row>
    <row r="5899" spans="1:3" x14ac:dyDescent="0.35">
      <c r="A5899" t="s">
        <v>120</v>
      </c>
      <c r="B5899">
        <v>2019</v>
      </c>
      <c r="C5899">
        <v>65.705329153605021</v>
      </c>
    </row>
    <row r="5900" spans="1:3" x14ac:dyDescent="0.35">
      <c r="A5900" t="s">
        <v>120</v>
      </c>
      <c r="B5900">
        <v>2020</v>
      </c>
      <c r="C5900">
        <v>78.965006269235147</v>
      </c>
    </row>
    <row r="5901" spans="1:3" x14ac:dyDescent="0.35">
      <c r="A5901" t="s">
        <v>120</v>
      </c>
      <c r="B5901">
        <v>2021</v>
      </c>
      <c r="C5901">
        <v>79.609744560075683</v>
      </c>
    </row>
    <row r="5902" spans="1:3" x14ac:dyDescent="0.35">
      <c r="A5902" t="s">
        <v>120</v>
      </c>
      <c r="B5902">
        <v>2022</v>
      </c>
      <c r="C5902">
        <v>107.60158018292427</v>
      </c>
    </row>
    <row r="5903" spans="1:3" x14ac:dyDescent="0.35">
      <c r="A5903" t="s">
        <v>120</v>
      </c>
      <c r="B5903">
        <v>2023</v>
      </c>
      <c r="C5903">
        <v>133.18546592279202</v>
      </c>
    </row>
    <row r="5904" spans="1:3" x14ac:dyDescent="0.35">
      <c r="A5904" t="s">
        <v>120</v>
      </c>
      <c r="B5904">
        <v>2024</v>
      </c>
      <c r="C5904">
        <v>165.6572483617189</v>
      </c>
    </row>
    <row r="5905" spans="1:3" x14ac:dyDescent="0.35">
      <c r="A5905" t="s">
        <v>120</v>
      </c>
      <c r="B5905">
        <v>2025</v>
      </c>
      <c r="C5905">
        <v>234.50014665072311</v>
      </c>
    </row>
    <row r="5906" spans="1:3" x14ac:dyDescent="0.35">
      <c r="A5906" t="s">
        <v>121</v>
      </c>
      <c r="B5906">
        <v>1993</v>
      </c>
      <c r="C5906">
        <v>17.691507972105697</v>
      </c>
    </row>
    <row r="5907" spans="1:3" x14ac:dyDescent="0.35">
      <c r="A5907" t="s">
        <v>121</v>
      </c>
      <c r="B5907">
        <v>1994</v>
      </c>
      <c r="C5907">
        <v>33.900348043573246</v>
      </c>
    </row>
    <row r="5908" spans="1:3" x14ac:dyDescent="0.35">
      <c r="A5908" t="s">
        <v>121</v>
      </c>
      <c r="B5908">
        <v>1995</v>
      </c>
      <c r="C5908">
        <v>43.560331058516049</v>
      </c>
    </row>
    <row r="5909" spans="1:3" x14ac:dyDescent="0.35">
      <c r="A5909" t="s">
        <v>121</v>
      </c>
      <c r="B5909">
        <v>1996</v>
      </c>
      <c r="C5909">
        <v>38.154934555992682</v>
      </c>
    </row>
    <row r="5910" spans="1:3" x14ac:dyDescent="0.35">
      <c r="A5910" t="s">
        <v>121</v>
      </c>
      <c r="B5910">
        <v>1997</v>
      </c>
      <c r="C5910">
        <v>37.988313149521517</v>
      </c>
    </row>
    <row r="5911" spans="1:3" x14ac:dyDescent="0.35">
      <c r="A5911" t="s">
        <v>121</v>
      </c>
      <c r="B5911">
        <v>1998</v>
      </c>
      <c r="C5911">
        <v>42.180166504419979</v>
      </c>
    </row>
    <row r="5912" spans="1:3" x14ac:dyDescent="0.35">
      <c r="A5912" t="s">
        <v>121</v>
      </c>
      <c r="B5912">
        <v>1999</v>
      </c>
      <c r="C5912">
        <v>56.568626391245907</v>
      </c>
    </row>
    <row r="5913" spans="1:3" x14ac:dyDescent="0.35">
      <c r="A5913" t="s">
        <v>121</v>
      </c>
      <c r="B5913">
        <v>2000</v>
      </c>
      <c r="C5913">
        <v>69.990683359367395</v>
      </c>
    </row>
    <row r="5914" spans="1:3" x14ac:dyDescent="0.35">
      <c r="A5914" t="s">
        <v>121</v>
      </c>
      <c r="B5914">
        <v>2001</v>
      </c>
      <c r="C5914">
        <v>86.966741097661298</v>
      </c>
    </row>
    <row r="5915" spans="1:3" x14ac:dyDescent="0.35">
      <c r="A5915" t="s">
        <v>121</v>
      </c>
      <c r="B5915">
        <v>2002</v>
      </c>
      <c r="C5915">
        <v>147.22484018430958</v>
      </c>
    </row>
    <row r="5916" spans="1:3" x14ac:dyDescent="0.35">
      <c r="A5916" t="s">
        <v>121</v>
      </c>
      <c r="B5916">
        <v>2003</v>
      </c>
      <c r="C5916">
        <v>189.14425139214106</v>
      </c>
    </row>
    <row r="5917" spans="1:3" x14ac:dyDescent="0.35">
      <c r="A5917" t="s">
        <v>121</v>
      </c>
      <c r="B5917">
        <v>2004</v>
      </c>
      <c r="C5917">
        <v>229.35332250095294</v>
      </c>
    </row>
    <row r="5918" spans="1:3" x14ac:dyDescent="0.35">
      <c r="A5918" t="s">
        <v>121</v>
      </c>
      <c r="B5918">
        <v>2005</v>
      </c>
      <c r="C5918">
        <v>272.55111577946508</v>
      </c>
    </row>
    <row r="5919" spans="1:3" x14ac:dyDescent="0.35">
      <c r="A5919" t="s">
        <v>121</v>
      </c>
      <c r="B5919">
        <v>2006</v>
      </c>
      <c r="C5919">
        <v>367.82549044443806</v>
      </c>
    </row>
    <row r="5920" spans="1:3" x14ac:dyDescent="0.35">
      <c r="A5920" t="s">
        <v>121</v>
      </c>
      <c r="B5920">
        <v>2007</v>
      </c>
      <c r="C5920">
        <v>481.49262714414681</v>
      </c>
    </row>
    <row r="5921" spans="1:3" x14ac:dyDescent="0.35">
      <c r="A5921" t="s">
        <v>121</v>
      </c>
      <c r="B5921">
        <v>2008</v>
      </c>
      <c r="C5921">
        <v>581.75227292659406</v>
      </c>
    </row>
    <row r="5922" spans="1:3" x14ac:dyDescent="0.35">
      <c r="A5922" t="s">
        <v>121</v>
      </c>
      <c r="B5922">
        <v>2009</v>
      </c>
      <c r="C5922">
        <v>363.80925107008858</v>
      </c>
    </row>
    <row r="5923" spans="1:3" x14ac:dyDescent="0.35">
      <c r="A5923" t="s">
        <v>121</v>
      </c>
      <c r="B5923">
        <v>2010</v>
      </c>
      <c r="C5923">
        <v>259.67212419746744</v>
      </c>
    </row>
    <row r="5924" spans="1:3" x14ac:dyDescent="0.35">
      <c r="A5924" t="s">
        <v>121</v>
      </c>
      <c r="B5924">
        <v>2011</v>
      </c>
      <c r="C5924">
        <v>296.83492921251104</v>
      </c>
    </row>
    <row r="5925" spans="1:3" x14ac:dyDescent="0.35">
      <c r="A5925" t="s">
        <v>121</v>
      </c>
      <c r="B5925">
        <v>2012</v>
      </c>
      <c r="C5925">
        <v>255.74034258924888</v>
      </c>
    </row>
    <row r="5926" spans="1:3" x14ac:dyDescent="0.35">
      <c r="A5926" t="s">
        <v>121</v>
      </c>
      <c r="B5926">
        <v>2013</v>
      </c>
      <c r="C5926">
        <v>283.5689327399981</v>
      </c>
    </row>
    <row r="5927" spans="1:3" x14ac:dyDescent="0.35">
      <c r="A5927" t="s">
        <v>121</v>
      </c>
      <c r="B5927">
        <v>2014</v>
      </c>
      <c r="C5927">
        <v>295.72896526571094</v>
      </c>
    </row>
    <row r="5928" spans="1:3" x14ac:dyDescent="0.35">
      <c r="A5928" t="s">
        <v>121</v>
      </c>
      <c r="B5928">
        <v>2015</v>
      </c>
      <c r="C5928">
        <v>282.68825551735608</v>
      </c>
    </row>
    <row r="5929" spans="1:3" x14ac:dyDescent="0.35">
      <c r="A5929" t="s">
        <v>121</v>
      </c>
      <c r="B5929">
        <v>2016</v>
      </c>
      <c r="C5929">
        <v>404.55245216626344</v>
      </c>
    </row>
    <row r="5930" spans="1:3" x14ac:dyDescent="0.35">
      <c r="A5930" t="s">
        <v>121</v>
      </c>
      <c r="B5930">
        <v>2017</v>
      </c>
      <c r="C5930">
        <v>482.46199911382143</v>
      </c>
    </row>
    <row r="5931" spans="1:3" x14ac:dyDescent="0.35">
      <c r="A5931" t="s">
        <v>121</v>
      </c>
      <c r="B5931">
        <v>2018</v>
      </c>
      <c r="C5931">
        <v>709.37053692621839</v>
      </c>
    </row>
    <row r="5932" spans="1:3" x14ac:dyDescent="0.35">
      <c r="A5932" t="s">
        <v>121</v>
      </c>
      <c r="B5932">
        <v>2019</v>
      </c>
      <c r="C5932">
        <v>691.8943125839678</v>
      </c>
    </row>
    <row r="5933" spans="1:3" x14ac:dyDescent="0.35">
      <c r="A5933" t="s">
        <v>121</v>
      </c>
      <c r="B5933">
        <v>2020</v>
      </c>
      <c r="C5933">
        <v>742.04946996466435</v>
      </c>
    </row>
    <row r="5934" spans="1:3" x14ac:dyDescent="0.35">
      <c r="A5934" t="s">
        <v>121</v>
      </c>
      <c r="B5934">
        <v>2021</v>
      </c>
      <c r="C5934">
        <v>823.08420056764419</v>
      </c>
    </row>
    <row r="5935" spans="1:3" x14ac:dyDescent="0.35">
      <c r="A5935" t="s">
        <v>121</v>
      </c>
      <c r="B5935">
        <v>2022</v>
      </c>
      <c r="C5935">
        <v>856.14277179903581</v>
      </c>
    </row>
    <row r="5936" spans="1:3" x14ac:dyDescent="0.35">
      <c r="A5936" t="s">
        <v>121</v>
      </c>
      <c r="B5936">
        <v>2023</v>
      </c>
      <c r="C5936">
        <v>1253.7964399462405</v>
      </c>
    </row>
    <row r="5937" spans="1:3" x14ac:dyDescent="0.35">
      <c r="A5937" t="s">
        <v>121</v>
      </c>
      <c r="B5937">
        <v>2024</v>
      </c>
      <c r="C5937">
        <v>1440.6484039062511</v>
      </c>
    </row>
    <row r="5938" spans="1:3" x14ac:dyDescent="0.35">
      <c r="A5938" t="s">
        <v>121</v>
      </c>
      <c r="B5938">
        <v>2025</v>
      </c>
      <c r="C5938">
        <v>1731.6066150756944</v>
      </c>
    </row>
    <row r="5939" spans="1:3" x14ac:dyDescent="0.35">
      <c r="A5939" t="s">
        <v>122</v>
      </c>
      <c r="B5939">
        <v>1993</v>
      </c>
      <c r="C5939">
        <v>20.76976376937704</v>
      </c>
    </row>
    <row r="5940" spans="1:3" x14ac:dyDescent="0.35">
      <c r="A5940" t="s">
        <v>122</v>
      </c>
      <c r="B5940">
        <v>1994</v>
      </c>
      <c r="C5940">
        <v>21.062271384576711</v>
      </c>
    </row>
    <row r="5941" spans="1:3" x14ac:dyDescent="0.35">
      <c r="A5941" t="s">
        <v>122</v>
      </c>
      <c r="B5941">
        <v>1995</v>
      </c>
      <c r="C5941">
        <v>30.453612499999998</v>
      </c>
    </row>
    <row r="5942" spans="1:3" x14ac:dyDescent="0.35">
      <c r="A5942" t="s">
        <v>122</v>
      </c>
      <c r="B5942">
        <v>1996</v>
      </c>
      <c r="C5942">
        <v>42.26</v>
      </c>
    </row>
    <row r="5943" spans="1:3" x14ac:dyDescent="0.35">
      <c r="A5943" t="s">
        <v>122</v>
      </c>
      <c r="B5943">
        <v>1997</v>
      </c>
      <c r="C5943">
        <v>75.611000000000004</v>
      </c>
    </row>
    <row r="5944" spans="1:3" x14ac:dyDescent="0.35">
      <c r="A5944" t="s">
        <v>122</v>
      </c>
      <c r="B5944">
        <v>1998</v>
      </c>
      <c r="C5944">
        <v>138.17500000000004</v>
      </c>
    </row>
    <row r="5945" spans="1:3" x14ac:dyDescent="0.35">
      <c r="A5945" t="s">
        <v>122</v>
      </c>
      <c r="B5945">
        <v>1999</v>
      </c>
      <c r="C5945">
        <v>106.45</v>
      </c>
    </row>
    <row r="5946" spans="1:3" x14ac:dyDescent="0.35">
      <c r="A5946" t="s">
        <v>122</v>
      </c>
      <c r="B5946">
        <v>2000</v>
      </c>
      <c r="C5946">
        <v>140.4</v>
      </c>
    </row>
    <row r="5947" spans="1:3" x14ac:dyDescent="0.35">
      <c r="A5947" t="s">
        <v>122</v>
      </c>
      <c r="B5947">
        <v>2001</v>
      </c>
      <c r="C5947">
        <v>166.875</v>
      </c>
    </row>
    <row r="5948" spans="1:3" x14ac:dyDescent="0.35">
      <c r="A5948" t="s">
        <v>122</v>
      </c>
      <c r="B5948">
        <v>2002</v>
      </c>
      <c r="C5948">
        <v>181.48144119054868</v>
      </c>
    </row>
    <row r="5949" spans="1:3" x14ac:dyDescent="0.35">
      <c r="A5949" t="s">
        <v>122</v>
      </c>
      <c r="B5949">
        <v>2003</v>
      </c>
      <c r="C5949">
        <v>210.82241323545267</v>
      </c>
    </row>
    <row r="5950" spans="1:3" x14ac:dyDescent="0.35">
      <c r="A5950" t="s">
        <v>122</v>
      </c>
      <c r="B5950">
        <v>2004</v>
      </c>
      <c r="C5950">
        <v>270.84179976192104</v>
      </c>
    </row>
    <row r="5951" spans="1:3" x14ac:dyDescent="0.35">
      <c r="A5951" t="s">
        <v>122</v>
      </c>
      <c r="B5951">
        <v>2005</v>
      </c>
      <c r="C5951">
        <v>303.81900635179267</v>
      </c>
    </row>
    <row r="5952" spans="1:3" x14ac:dyDescent="0.35">
      <c r="A5952" t="s">
        <v>122</v>
      </c>
      <c r="B5952">
        <v>2006</v>
      </c>
      <c r="C5952">
        <v>351.60578876038693</v>
      </c>
    </row>
    <row r="5953" spans="1:3" x14ac:dyDescent="0.35">
      <c r="A5953" t="s">
        <v>122</v>
      </c>
      <c r="B5953">
        <v>2007</v>
      </c>
      <c r="C5953">
        <v>442.00449334913014</v>
      </c>
    </row>
    <row r="5954" spans="1:3" x14ac:dyDescent="0.35">
      <c r="A5954" t="s">
        <v>122</v>
      </c>
      <c r="B5954">
        <v>2008</v>
      </c>
      <c r="C5954">
        <v>541.39019464761486</v>
      </c>
    </row>
    <row r="5955" spans="1:3" x14ac:dyDescent="0.35">
      <c r="A5955" t="s">
        <v>122</v>
      </c>
      <c r="B5955">
        <v>2009</v>
      </c>
      <c r="C5955">
        <v>404.82602867115128</v>
      </c>
    </row>
    <row r="5956" spans="1:3" x14ac:dyDescent="0.35">
      <c r="A5956" t="s">
        <v>122</v>
      </c>
      <c r="B5956">
        <v>2010</v>
      </c>
      <c r="C5956">
        <v>326.3209186864288</v>
      </c>
    </row>
    <row r="5957" spans="1:3" x14ac:dyDescent="0.35">
      <c r="A5957" t="s">
        <v>122</v>
      </c>
      <c r="B5957">
        <v>2011</v>
      </c>
      <c r="C5957">
        <v>344.60521542864046</v>
      </c>
    </row>
    <row r="5958" spans="1:3" x14ac:dyDescent="0.35">
      <c r="A5958" t="s">
        <v>122</v>
      </c>
      <c r="B5958">
        <v>2012</v>
      </c>
      <c r="C5958">
        <v>328.63168161293078</v>
      </c>
    </row>
    <row r="5959" spans="1:3" x14ac:dyDescent="0.35">
      <c r="A5959" t="s">
        <v>122</v>
      </c>
      <c r="B5959">
        <v>2013</v>
      </c>
      <c r="C5959">
        <v>354.86214970338443</v>
      </c>
    </row>
    <row r="5960" spans="1:3" x14ac:dyDescent="0.35">
      <c r="A5960" t="s">
        <v>122</v>
      </c>
      <c r="B5960">
        <v>2014</v>
      </c>
      <c r="C5960">
        <v>426.91369536589389</v>
      </c>
    </row>
    <row r="5961" spans="1:3" x14ac:dyDescent="0.35">
      <c r="A5961" t="s">
        <v>122</v>
      </c>
      <c r="B5961">
        <v>2015</v>
      </c>
      <c r="C5961">
        <v>471.2210269490962</v>
      </c>
    </row>
    <row r="5962" spans="1:3" x14ac:dyDescent="0.35">
      <c r="A5962" t="s">
        <v>122</v>
      </c>
      <c r="B5962">
        <v>2016</v>
      </c>
      <c r="C5962">
        <v>635.44810241228913</v>
      </c>
    </row>
    <row r="5963" spans="1:3" x14ac:dyDescent="0.35">
      <c r="A5963" t="s">
        <v>122</v>
      </c>
      <c r="B5963">
        <v>2017</v>
      </c>
      <c r="C5963">
        <v>812.10696501996267</v>
      </c>
    </row>
    <row r="5964" spans="1:3" x14ac:dyDescent="0.35">
      <c r="A5964" t="s">
        <v>122</v>
      </c>
      <c r="B5964">
        <v>2018</v>
      </c>
      <c r="C5964">
        <v>1056.3837446738194</v>
      </c>
    </row>
    <row r="5965" spans="1:3" x14ac:dyDescent="0.35">
      <c r="A5965" t="s">
        <v>122</v>
      </c>
      <c r="B5965">
        <v>2019</v>
      </c>
      <c r="C5965">
        <v>1093.819973130318</v>
      </c>
    </row>
    <row r="5966" spans="1:3" x14ac:dyDescent="0.35">
      <c r="A5966" t="s">
        <v>122</v>
      </c>
      <c r="B5966">
        <v>2020</v>
      </c>
      <c r="C5966">
        <v>1174.0567650746609</v>
      </c>
    </row>
    <row r="5967" spans="1:3" x14ac:dyDescent="0.35">
      <c r="A5967" t="s">
        <v>122</v>
      </c>
      <c r="B5967">
        <v>2021</v>
      </c>
      <c r="C5967">
        <v>1306.7644276253548</v>
      </c>
    </row>
    <row r="5968" spans="1:3" x14ac:dyDescent="0.35">
      <c r="A5968" t="s">
        <v>122</v>
      </c>
      <c r="B5968">
        <v>2022</v>
      </c>
      <c r="C5968">
        <v>1815.3592433969727</v>
      </c>
    </row>
    <row r="5969" spans="1:3" x14ac:dyDescent="0.35">
      <c r="A5969" t="s">
        <v>122</v>
      </c>
      <c r="B5969">
        <v>2023</v>
      </c>
      <c r="C5969">
        <v>2261.2261831193473</v>
      </c>
    </row>
    <row r="5970" spans="1:3" x14ac:dyDescent="0.35">
      <c r="A5970" t="s">
        <v>122</v>
      </c>
      <c r="B5970">
        <v>2024</v>
      </c>
      <c r="C5970">
        <v>2688.6330843750025</v>
      </c>
    </row>
    <row r="5971" spans="1:3" x14ac:dyDescent="0.35">
      <c r="A5971" t="s">
        <v>122</v>
      </c>
      <c r="B5971">
        <v>2025</v>
      </c>
      <c r="C5971">
        <v>2952.1918642691153</v>
      </c>
    </row>
    <row r="5972" spans="1:3" x14ac:dyDescent="0.35">
      <c r="A5972" t="s">
        <v>123</v>
      </c>
      <c r="B5972">
        <v>1996</v>
      </c>
      <c r="C5972">
        <v>130.63672585296553</v>
      </c>
    </row>
    <row r="5973" spans="1:3" x14ac:dyDescent="0.35">
      <c r="A5973" t="s">
        <v>123</v>
      </c>
      <c r="B5973">
        <v>1997</v>
      </c>
      <c r="C5973">
        <v>83.25417220794543</v>
      </c>
    </row>
    <row r="5974" spans="1:3" x14ac:dyDescent="0.35">
      <c r="A5974" t="s">
        <v>123</v>
      </c>
      <c r="B5974">
        <v>1998</v>
      </c>
      <c r="C5974">
        <v>78.99129112752631</v>
      </c>
    </row>
    <row r="5975" spans="1:3" x14ac:dyDescent="0.35">
      <c r="A5975" t="s">
        <v>123</v>
      </c>
      <c r="B5975">
        <v>1999</v>
      </c>
      <c r="C5975">
        <v>66.236920448913736</v>
      </c>
    </row>
    <row r="5976" spans="1:3" x14ac:dyDescent="0.35">
      <c r="A5976" t="s">
        <v>123</v>
      </c>
      <c r="B5976">
        <v>2000</v>
      </c>
      <c r="C5976">
        <v>69.828947907483467</v>
      </c>
    </row>
    <row r="5977" spans="1:3" x14ac:dyDescent="0.35">
      <c r="A5977" t="s">
        <v>123</v>
      </c>
      <c r="B5977">
        <v>2001</v>
      </c>
      <c r="C5977">
        <v>226.30300233255093</v>
      </c>
    </row>
    <row r="5978" spans="1:3" x14ac:dyDescent="0.35">
      <c r="A5978" t="s">
        <v>123</v>
      </c>
      <c r="B5978">
        <v>2002</v>
      </c>
      <c r="C5978">
        <v>106.30957671974116</v>
      </c>
    </row>
    <row r="5979" spans="1:3" x14ac:dyDescent="0.35">
      <c r="A5979" t="s">
        <v>123</v>
      </c>
      <c r="B5979">
        <v>2003</v>
      </c>
      <c r="C5979">
        <v>115.8272017201039</v>
      </c>
    </row>
    <row r="5980" spans="1:3" x14ac:dyDescent="0.35">
      <c r="A5980" t="s">
        <v>123</v>
      </c>
      <c r="B5980">
        <v>2004</v>
      </c>
      <c r="C5980">
        <v>135.25629479112484</v>
      </c>
    </row>
    <row r="5981" spans="1:3" x14ac:dyDescent="0.35">
      <c r="A5981" t="s">
        <v>123</v>
      </c>
      <c r="B5981">
        <v>2005</v>
      </c>
      <c r="C5981">
        <v>127.00365435225034</v>
      </c>
    </row>
    <row r="5982" spans="1:3" x14ac:dyDescent="0.35">
      <c r="A5982" t="s">
        <v>123</v>
      </c>
      <c r="B5982">
        <v>2006</v>
      </c>
      <c r="C5982">
        <v>126.00887672176026</v>
      </c>
    </row>
    <row r="5983" spans="1:3" x14ac:dyDescent="0.35">
      <c r="A5983" t="s">
        <v>123</v>
      </c>
      <c r="B5983">
        <v>2007</v>
      </c>
      <c r="C5983">
        <v>162.56723705449164</v>
      </c>
    </row>
    <row r="5984" spans="1:3" x14ac:dyDescent="0.35">
      <c r="A5984" t="s">
        <v>123</v>
      </c>
      <c r="B5984">
        <v>2008</v>
      </c>
      <c r="C5984">
        <v>172.65815891486756</v>
      </c>
    </row>
    <row r="5985" spans="1:3" x14ac:dyDescent="0.35">
      <c r="A5985" t="s">
        <v>123</v>
      </c>
      <c r="B5985">
        <v>2009</v>
      </c>
      <c r="C5985">
        <v>158.71666145131812</v>
      </c>
    </row>
    <row r="5986" spans="1:3" x14ac:dyDescent="0.35">
      <c r="A5986" t="s">
        <v>123</v>
      </c>
      <c r="B5986">
        <v>2010</v>
      </c>
      <c r="C5986">
        <v>130.02146910642912</v>
      </c>
    </row>
    <row r="5987" spans="1:3" x14ac:dyDescent="0.35">
      <c r="A5987" t="s">
        <v>123</v>
      </c>
      <c r="B5987">
        <v>2011</v>
      </c>
      <c r="C5987">
        <v>132.4619948090471</v>
      </c>
    </row>
    <row r="5988" spans="1:3" x14ac:dyDescent="0.35">
      <c r="A5988" t="s">
        <v>123</v>
      </c>
      <c r="B5988">
        <v>2012</v>
      </c>
      <c r="C5988">
        <v>119.41040252410194</v>
      </c>
    </row>
    <row r="5989" spans="1:3" x14ac:dyDescent="0.35">
      <c r="A5989" t="s">
        <v>123</v>
      </c>
      <c r="B5989">
        <v>2013</v>
      </c>
      <c r="C5989">
        <v>126.50634870342471</v>
      </c>
    </row>
    <row r="5990" spans="1:3" x14ac:dyDescent="0.35">
      <c r="A5990" t="s">
        <v>123</v>
      </c>
      <c r="B5990">
        <v>2014</v>
      </c>
      <c r="C5990">
        <v>124.18510567970968</v>
      </c>
    </row>
    <row r="5991" spans="1:3" x14ac:dyDescent="0.35">
      <c r="A5991" t="s">
        <v>123</v>
      </c>
      <c r="B5991">
        <v>2015</v>
      </c>
      <c r="C5991">
        <v>99.98365956435407</v>
      </c>
    </row>
    <row r="5992" spans="1:3" x14ac:dyDescent="0.35">
      <c r="A5992" t="s">
        <v>123</v>
      </c>
      <c r="B5992">
        <v>2016</v>
      </c>
      <c r="C5992">
        <v>101.27086502346734</v>
      </c>
    </row>
    <row r="5993" spans="1:3" x14ac:dyDescent="0.35">
      <c r="A5993" t="s">
        <v>123</v>
      </c>
      <c r="B5993">
        <v>2017</v>
      </c>
      <c r="C5993">
        <v>102.03884079754819</v>
      </c>
    </row>
    <row r="5994" spans="1:3" x14ac:dyDescent="0.35">
      <c r="A5994" t="s">
        <v>123</v>
      </c>
      <c r="B5994">
        <v>2018</v>
      </c>
      <c r="C5994">
        <v>117.39281252893686</v>
      </c>
    </row>
    <row r="5995" spans="1:3" x14ac:dyDescent="0.35">
      <c r="A5995" t="s">
        <v>123</v>
      </c>
      <c r="B5995">
        <v>2019</v>
      </c>
      <c r="C5995">
        <v>151.25429503232192</v>
      </c>
    </row>
    <row r="5996" spans="1:3" x14ac:dyDescent="0.35">
      <c r="A5996" t="s">
        <v>123</v>
      </c>
      <c r="B5996">
        <v>2020</v>
      </c>
      <c r="C5996">
        <v>146.68203916107549</v>
      </c>
    </row>
    <row r="5997" spans="1:3" x14ac:dyDescent="0.35">
      <c r="A5997" t="s">
        <v>123</v>
      </c>
      <c r="B5997">
        <v>2021</v>
      </c>
      <c r="C5997">
        <v>196.24906773695727</v>
      </c>
    </row>
    <row r="5998" spans="1:3" x14ac:dyDescent="0.35">
      <c r="A5998" t="s">
        <v>123</v>
      </c>
      <c r="B5998">
        <v>2022</v>
      </c>
      <c r="C5998">
        <v>207.27487993544415</v>
      </c>
    </row>
    <row r="5999" spans="1:3" x14ac:dyDescent="0.35">
      <c r="A5999" t="s">
        <v>123</v>
      </c>
      <c r="B5999">
        <v>2023</v>
      </c>
      <c r="C5999">
        <v>280.29477016938097</v>
      </c>
    </row>
    <row r="6000" spans="1:3" x14ac:dyDescent="0.35">
      <c r="A6000" t="s">
        <v>123</v>
      </c>
      <c r="B6000">
        <v>2024</v>
      </c>
      <c r="C6000">
        <v>299.52894743165888</v>
      </c>
    </row>
    <row r="6001" spans="1:3" x14ac:dyDescent="0.35">
      <c r="A6001" t="s">
        <v>123</v>
      </c>
      <c r="B6001">
        <v>2025</v>
      </c>
      <c r="C6001">
        <v>374.75124697190142</v>
      </c>
    </row>
    <row r="6002" spans="1:3" x14ac:dyDescent="0.35">
      <c r="A6002" t="s">
        <v>124</v>
      </c>
      <c r="B6002">
        <v>2005</v>
      </c>
      <c r="C6002">
        <v>60.811819131472916</v>
      </c>
    </row>
    <row r="6003" spans="1:3" x14ac:dyDescent="0.35">
      <c r="A6003" t="s">
        <v>124</v>
      </c>
      <c r="B6003">
        <v>2006</v>
      </c>
      <c r="C6003">
        <v>62.347815505663363</v>
      </c>
    </row>
    <row r="6004" spans="1:3" x14ac:dyDescent="0.35">
      <c r="A6004" t="s">
        <v>124</v>
      </c>
      <c r="B6004">
        <v>2007</v>
      </c>
      <c r="C6004">
        <v>64.190474626285521</v>
      </c>
    </row>
    <row r="6005" spans="1:3" x14ac:dyDescent="0.35">
      <c r="A6005" t="s">
        <v>124</v>
      </c>
      <c r="B6005">
        <v>2008</v>
      </c>
      <c r="C6005">
        <v>85.106382978723403</v>
      </c>
    </row>
    <row r="6006" spans="1:3" x14ac:dyDescent="0.35">
      <c r="A6006" t="s">
        <v>124</v>
      </c>
      <c r="B6006">
        <v>2009</v>
      </c>
      <c r="C6006">
        <v>76.683387905418257</v>
      </c>
    </row>
    <row r="6007" spans="1:3" x14ac:dyDescent="0.35">
      <c r="A6007" t="s">
        <v>124</v>
      </c>
      <c r="B6007">
        <v>2010</v>
      </c>
      <c r="C6007">
        <v>75.09486189564862</v>
      </c>
    </row>
    <row r="6008" spans="1:3" x14ac:dyDescent="0.35">
      <c r="A6008" t="s">
        <v>124</v>
      </c>
      <c r="B6008">
        <v>2011</v>
      </c>
      <c r="C6008">
        <v>79.376663816891522</v>
      </c>
    </row>
    <row r="6009" spans="1:3" x14ac:dyDescent="0.35">
      <c r="A6009" t="s">
        <v>124</v>
      </c>
      <c r="B6009">
        <v>2012</v>
      </c>
      <c r="C6009">
        <v>67.712201301821679</v>
      </c>
    </row>
    <row r="6010" spans="1:3" x14ac:dyDescent="0.35">
      <c r="A6010" t="s">
        <v>124</v>
      </c>
      <c r="B6010">
        <v>2013</v>
      </c>
      <c r="C6010">
        <v>64.836243077490934</v>
      </c>
    </row>
    <row r="6011" spans="1:3" x14ac:dyDescent="0.35">
      <c r="A6011" t="s">
        <v>124</v>
      </c>
      <c r="B6011">
        <v>2014</v>
      </c>
      <c r="C6011">
        <v>67.544018042518374</v>
      </c>
    </row>
    <row r="6012" spans="1:3" x14ac:dyDescent="0.35">
      <c r="A6012" t="s">
        <v>124</v>
      </c>
      <c r="B6012">
        <v>2015</v>
      </c>
      <c r="C6012">
        <v>56.891427303981381</v>
      </c>
    </row>
    <row r="6013" spans="1:3" x14ac:dyDescent="0.35">
      <c r="A6013" t="s">
        <v>124</v>
      </c>
      <c r="B6013">
        <v>2016</v>
      </c>
      <c r="C6013">
        <v>61.714551610020528</v>
      </c>
    </row>
    <row r="6014" spans="1:3" x14ac:dyDescent="0.35">
      <c r="A6014" t="s">
        <v>124</v>
      </c>
      <c r="B6014">
        <v>2017</v>
      </c>
      <c r="C6014">
        <v>65.734886376933616</v>
      </c>
    </row>
    <row r="6015" spans="1:3" x14ac:dyDescent="0.35">
      <c r="A6015" t="s">
        <v>124</v>
      </c>
      <c r="B6015">
        <v>2018</v>
      </c>
      <c r="C6015">
        <v>75.365603201019795</v>
      </c>
    </row>
    <row r="6016" spans="1:3" x14ac:dyDescent="0.35">
      <c r="A6016" t="s">
        <v>124</v>
      </c>
      <c r="B6016">
        <v>2019</v>
      </c>
      <c r="C6016">
        <v>73.962158531124061</v>
      </c>
    </row>
    <row r="6017" spans="1:3" x14ac:dyDescent="0.35">
      <c r="A6017" t="s">
        <v>124</v>
      </c>
      <c r="B6017">
        <v>2020</v>
      </c>
      <c r="C6017">
        <v>82.920323720506104</v>
      </c>
    </row>
    <row r="6018" spans="1:3" x14ac:dyDescent="0.35">
      <c r="A6018" t="s">
        <v>124</v>
      </c>
      <c r="B6018">
        <v>2021</v>
      </c>
      <c r="C6018">
        <v>91.137653736991481</v>
      </c>
    </row>
    <row r="6019" spans="1:3" x14ac:dyDescent="0.35">
      <c r="A6019" t="s">
        <v>124</v>
      </c>
      <c r="B6019">
        <v>2022</v>
      </c>
      <c r="C6019">
        <v>98.011519011838743</v>
      </c>
    </row>
    <row r="6020" spans="1:3" x14ac:dyDescent="0.35">
      <c r="A6020" t="s">
        <v>124</v>
      </c>
      <c r="B6020">
        <v>2023</v>
      </c>
      <c r="C6020">
        <v>114.26052609971435</v>
      </c>
    </row>
    <row r="6021" spans="1:3" x14ac:dyDescent="0.35">
      <c r="A6021" t="s">
        <v>124</v>
      </c>
      <c r="B6021">
        <v>2024</v>
      </c>
      <c r="C6021">
        <v>150.12617101562512</v>
      </c>
    </row>
    <row r="6022" spans="1:3" x14ac:dyDescent="0.35">
      <c r="A6022" t="s">
        <v>124</v>
      </c>
      <c r="B6022">
        <v>2025</v>
      </c>
      <c r="C6022">
        <v>176.54490896374341</v>
      </c>
    </row>
    <row r="6023" spans="1:3" x14ac:dyDescent="0.35">
      <c r="A6023" t="s">
        <v>125</v>
      </c>
      <c r="B6023">
        <v>1951</v>
      </c>
      <c r="C6023">
        <v>950</v>
      </c>
    </row>
    <row r="6024" spans="1:3" x14ac:dyDescent="0.35">
      <c r="A6024" t="s">
        <v>125</v>
      </c>
      <c r="B6024">
        <v>1952</v>
      </c>
      <c r="C6024">
        <v>1525</v>
      </c>
    </row>
    <row r="6025" spans="1:3" x14ac:dyDescent="0.35">
      <c r="A6025" t="s">
        <v>125</v>
      </c>
      <c r="B6025">
        <v>1953</v>
      </c>
      <c r="C6025">
        <v>2275</v>
      </c>
    </row>
    <row r="6026" spans="1:3" x14ac:dyDescent="0.35">
      <c r="A6026" t="s">
        <v>125</v>
      </c>
      <c r="B6026">
        <v>1954</v>
      </c>
      <c r="C6026">
        <v>2475</v>
      </c>
    </row>
    <row r="6027" spans="1:3" x14ac:dyDescent="0.35">
      <c r="A6027" t="s">
        <v>125</v>
      </c>
      <c r="B6027">
        <v>1955</v>
      </c>
      <c r="C6027">
        <v>2925</v>
      </c>
    </row>
    <row r="6028" spans="1:3" x14ac:dyDescent="0.35">
      <c r="A6028" t="s">
        <v>125</v>
      </c>
      <c r="B6028">
        <v>1956</v>
      </c>
      <c r="C6028">
        <v>2900</v>
      </c>
    </row>
    <row r="6029" spans="1:3" x14ac:dyDescent="0.35">
      <c r="A6029" t="s">
        <v>125</v>
      </c>
      <c r="B6029">
        <v>1957</v>
      </c>
      <c r="C6029">
        <v>2425</v>
      </c>
    </row>
    <row r="6030" spans="1:3" x14ac:dyDescent="0.35">
      <c r="A6030" t="s">
        <v>125</v>
      </c>
      <c r="B6030">
        <v>1958</v>
      </c>
      <c r="C6030">
        <v>2700</v>
      </c>
    </row>
    <row r="6031" spans="1:3" x14ac:dyDescent="0.35">
      <c r="A6031" t="s">
        <v>125</v>
      </c>
      <c r="B6031">
        <v>1959</v>
      </c>
      <c r="C6031">
        <v>3375</v>
      </c>
    </row>
    <row r="6032" spans="1:3" x14ac:dyDescent="0.35">
      <c r="A6032" t="s">
        <v>125</v>
      </c>
      <c r="B6032">
        <v>1960</v>
      </c>
      <c r="C6032">
        <v>3550</v>
      </c>
    </row>
    <row r="6033" spans="1:3" x14ac:dyDescent="0.35">
      <c r="A6033" t="s">
        <v>125</v>
      </c>
      <c r="B6033">
        <v>1961</v>
      </c>
      <c r="C6033">
        <v>4025</v>
      </c>
    </row>
    <row r="6034" spans="1:3" x14ac:dyDescent="0.35">
      <c r="A6034" t="s">
        <v>125</v>
      </c>
      <c r="B6034">
        <v>1962</v>
      </c>
      <c r="C6034">
        <v>4375</v>
      </c>
    </row>
    <row r="6035" spans="1:3" x14ac:dyDescent="0.35">
      <c r="A6035" t="s">
        <v>125</v>
      </c>
      <c r="B6035">
        <v>1963</v>
      </c>
      <c r="C6035">
        <v>4950</v>
      </c>
    </row>
    <row r="6036" spans="1:3" x14ac:dyDescent="0.35">
      <c r="A6036" t="s">
        <v>125</v>
      </c>
      <c r="B6036">
        <v>1964</v>
      </c>
      <c r="C6036">
        <v>5200</v>
      </c>
    </row>
    <row r="6037" spans="1:3" x14ac:dyDescent="0.35">
      <c r="A6037" t="s">
        <v>125</v>
      </c>
      <c r="B6037">
        <v>1965</v>
      </c>
      <c r="C6037">
        <v>5525</v>
      </c>
    </row>
    <row r="6038" spans="1:3" x14ac:dyDescent="0.35">
      <c r="A6038" t="s">
        <v>125</v>
      </c>
      <c r="B6038">
        <v>1966</v>
      </c>
      <c r="C6038">
        <v>5975</v>
      </c>
    </row>
    <row r="6039" spans="1:3" x14ac:dyDescent="0.35">
      <c r="A6039" t="s">
        <v>125</v>
      </c>
      <c r="B6039">
        <v>1967</v>
      </c>
      <c r="C6039">
        <v>6275</v>
      </c>
    </row>
    <row r="6040" spans="1:3" x14ac:dyDescent="0.35">
      <c r="A6040" t="s">
        <v>125</v>
      </c>
      <c r="B6040">
        <v>1968</v>
      </c>
      <c r="C6040">
        <v>7225</v>
      </c>
    </row>
    <row r="6041" spans="1:3" x14ac:dyDescent="0.35">
      <c r="A6041" t="s">
        <v>125</v>
      </c>
      <c r="B6041">
        <v>1969</v>
      </c>
      <c r="C6041">
        <v>7975</v>
      </c>
    </row>
    <row r="6042" spans="1:3" x14ac:dyDescent="0.35">
      <c r="A6042" t="s">
        <v>125</v>
      </c>
      <c r="B6042">
        <v>1970</v>
      </c>
      <c r="C6042">
        <v>8525</v>
      </c>
    </row>
    <row r="6043" spans="1:3" x14ac:dyDescent="0.35">
      <c r="A6043" t="s">
        <v>125</v>
      </c>
      <c r="B6043">
        <v>1971</v>
      </c>
      <c r="C6043">
        <v>9452.0628870401415</v>
      </c>
    </row>
    <row r="6044" spans="1:3" x14ac:dyDescent="0.35">
      <c r="A6044" t="s">
        <v>125</v>
      </c>
      <c r="B6044">
        <v>1972</v>
      </c>
      <c r="C6044">
        <v>10054.347826086956</v>
      </c>
    </row>
    <row r="6045" spans="1:3" x14ac:dyDescent="0.35">
      <c r="A6045" t="s">
        <v>125</v>
      </c>
      <c r="B6045">
        <v>1973</v>
      </c>
      <c r="C6045">
        <v>12059.701492537313</v>
      </c>
    </row>
    <row r="6046" spans="1:3" x14ac:dyDescent="0.35">
      <c r="A6046" t="s">
        <v>125</v>
      </c>
      <c r="B6046">
        <v>1974</v>
      </c>
      <c r="C6046">
        <v>13162.65060240964</v>
      </c>
    </row>
    <row r="6047" spans="1:3" x14ac:dyDescent="0.35">
      <c r="A6047" t="s">
        <v>125</v>
      </c>
      <c r="B6047">
        <v>1975</v>
      </c>
      <c r="C6047">
        <v>14337.349397590362</v>
      </c>
    </row>
    <row r="6048" spans="1:3" x14ac:dyDescent="0.35">
      <c r="A6048" t="s">
        <v>125</v>
      </c>
      <c r="B6048">
        <v>1976</v>
      </c>
      <c r="C6048">
        <v>15572.289156626506</v>
      </c>
    </row>
    <row r="6049" spans="1:3" x14ac:dyDescent="0.35">
      <c r="A6049" t="s">
        <v>125</v>
      </c>
      <c r="B6049">
        <v>1977</v>
      </c>
      <c r="C6049">
        <v>17379.518072289156</v>
      </c>
    </row>
    <row r="6050" spans="1:3" x14ac:dyDescent="0.35">
      <c r="A6050" t="s">
        <v>125</v>
      </c>
      <c r="B6050">
        <v>1978</v>
      </c>
      <c r="C6050">
        <v>10292.598967297761</v>
      </c>
    </row>
    <row r="6051" spans="1:3" x14ac:dyDescent="0.35">
      <c r="A6051" t="s">
        <v>125</v>
      </c>
      <c r="B6051">
        <v>1979</v>
      </c>
      <c r="C6051">
        <v>1936.7469879518073</v>
      </c>
    </row>
    <row r="6052" spans="1:3" x14ac:dyDescent="0.35">
      <c r="A6052" t="s">
        <v>125</v>
      </c>
      <c r="B6052">
        <v>1980</v>
      </c>
      <c r="C6052">
        <v>1506.2182388102233</v>
      </c>
    </row>
    <row r="6053" spans="1:3" x14ac:dyDescent="0.35">
      <c r="A6053" t="s">
        <v>125</v>
      </c>
      <c r="B6053">
        <v>1981</v>
      </c>
      <c r="C6053">
        <v>1567.8608083671375</v>
      </c>
    </row>
    <row r="6054" spans="1:3" x14ac:dyDescent="0.35">
      <c r="A6054" t="s">
        <v>125</v>
      </c>
      <c r="B6054">
        <v>1982</v>
      </c>
      <c r="C6054">
        <v>2122.0359284260862</v>
      </c>
    </row>
    <row r="6055" spans="1:3" x14ac:dyDescent="0.35">
      <c r="A6055" t="s">
        <v>125</v>
      </c>
      <c r="B6055">
        <v>1983</v>
      </c>
      <c r="C6055">
        <v>2195.5215729109777</v>
      </c>
    </row>
    <row r="6056" spans="1:3" x14ac:dyDescent="0.35">
      <c r="A6056" t="s">
        <v>125</v>
      </c>
      <c r="B6056">
        <v>1984</v>
      </c>
      <c r="C6056">
        <v>2313.6700812433769</v>
      </c>
    </row>
    <row r="6057" spans="1:3" x14ac:dyDescent="0.35">
      <c r="A6057" t="s">
        <v>125</v>
      </c>
      <c r="B6057">
        <v>1985</v>
      </c>
      <c r="C6057">
        <v>2140.7891696456486</v>
      </c>
    </row>
    <row r="6058" spans="1:3" x14ac:dyDescent="0.35">
      <c r="A6058" t="s">
        <v>125</v>
      </c>
      <c r="B6058">
        <v>1986</v>
      </c>
      <c r="C6058">
        <v>2173.5781889130399</v>
      </c>
    </row>
    <row r="6059" spans="1:3" x14ac:dyDescent="0.35">
      <c r="A6059" t="s">
        <v>125</v>
      </c>
      <c r="B6059">
        <v>1987</v>
      </c>
      <c r="C6059">
        <v>1765.4847726938356</v>
      </c>
    </row>
    <row r="6060" spans="1:3" x14ac:dyDescent="0.35">
      <c r="A6060" t="s">
        <v>125</v>
      </c>
      <c r="B6060">
        <v>1988</v>
      </c>
      <c r="C6060">
        <v>1783.7815239254344</v>
      </c>
    </row>
    <row r="6061" spans="1:3" x14ac:dyDescent="0.35">
      <c r="A6061" t="s">
        <v>125</v>
      </c>
      <c r="B6061">
        <v>1989</v>
      </c>
      <c r="C6061">
        <v>1493.9062521713754</v>
      </c>
    </row>
    <row r="6062" spans="1:3" x14ac:dyDescent="0.35">
      <c r="A6062" t="s">
        <v>125</v>
      </c>
      <c r="B6062">
        <v>1990</v>
      </c>
      <c r="C6062">
        <v>1540.7368421052631</v>
      </c>
    </row>
    <row r="6063" spans="1:3" x14ac:dyDescent="0.35">
      <c r="A6063" t="s">
        <v>125</v>
      </c>
      <c r="B6063">
        <v>1991</v>
      </c>
      <c r="C6063">
        <v>1721.9958207656887</v>
      </c>
    </row>
    <row r="6064" spans="1:3" x14ac:dyDescent="0.35">
      <c r="A6064" t="s">
        <v>125</v>
      </c>
      <c r="B6064">
        <v>1992</v>
      </c>
      <c r="C6064">
        <v>1881.9350672224505</v>
      </c>
    </row>
    <row r="6065" spans="1:3" x14ac:dyDescent="0.35">
      <c r="A6065" t="s">
        <v>125</v>
      </c>
      <c r="B6065">
        <v>1993</v>
      </c>
      <c r="C6065">
        <v>2123.3784156776151</v>
      </c>
    </row>
    <row r="6066" spans="1:3" x14ac:dyDescent="0.35">
      <c r="A6066" t="s">
        <v>125</v>
      </c>
      <c r="B6066">
        <v>1994</v>
      </c>
      <c r="C6066">
        <v>2251.9231784815256</v>
      </c>
    </row>
    <row r="6067" spans="1:3" x14ac:dyDescent="0.35">
      <c r="A6067" t="s">
        <v>125</v>
      </c>
      <c r="B6067">
        <v>1995</v>
      </c>
      <c r="C6067">
        <v>2719.3626339186303</v>
      </c>
    </row>
    <row r="6068" spans="1:3" x14ac:dyDescent="0.35">
      <c r="A6068" t="s">
        <v>125</v>
      </c>
      <c r="B6068">
        <v>1996</v>
      </c>
      <c r="C6068">
        <v>3083.4167872111575</v>
      </c>
    </row>
    <row r="6069" spans="1:3" x14ac:dyDescent="0.35">
      <c r="A6069" t="s">
        <v>125</v>
      </c>
      <c r="B6069">
        <v>1997</v>
      </c>
      <c r="C6069">
        <v>3192.2763768986579</v>
      </c>
    </row>
    <row r="6070" spans="1:3" x14ac:dyDescent="0.35">
      <c r="A6070" t="s">
        <v>125</v>
      </c>
      <c r="B6070">
        <v>1998</v>
      </c>
      <c r="C6070">
        <v>3491.0226161017436</v>
      </c>
    </row>
    <row r="6071" spans="1:3" x14ac:dyDescent="0.35">
      <c r="A6071" t="s">
        <v>125</v>
      </c>
      <c r="B6071">
        <v>1999</v>
      </c>
      <c r="C6071">
        <v>3226.5553513766949</v>
      </c>
    </row>
    <row r="6072" spans="1:3" x14ac:dyDescent="0.35">
      <c r="A6072" t="s">
        <v>125</v>
      </c>
      <c r="B6072">
        <v>2000</v>
      </c>
      <c r="C6072">
        <v>3146.1067125011791</v>
      </c>
    </row>
    <row r="6073" spans="1:3" x14ac:dyDescent="0.35">
      <c r="A6073" t="s">
        <v>125</v>
      </c>
      <c r="B6073">
        <v>2001</v>
      </c>
      <c r="C6073">
        <v>3630.6455946652341</v>
      </c>
    </row>
    <row r="6074" spans="1:3" x14ac:dyDescent="0.35">
      <c r="A6074" t="s">
        <v>125</v>
      </c>
      <c r="B6074">
        <v>2002</v>
      </c>
      <c r="C6074">
        <v>3776.173214412639</v>
      </c>
    </row>
    <row r="6075" spans="1:3" x14ac:dyDescent="0.35">
      <c r="A6075" t="s">
        <v>125</v>
      </c>
      <c r="B6075">
        <v>2003</v>
      </c>
      <c r="C6075">
        <v>4150.2617585650078</v>
      </c>
    </row>
    <row r="6076" spans="1:3" x14ac:dyDescent="0.35">
      <c r="A6076" t="s">
        <v>125</v>
      </c>
      <c r="B6076">
        <v>2004</v>
      </c>
      <c r="C6076">
        <v>4778.6277490403654</v>
      </c>
    </row>
    <row r="6077" spans="1:3" x14ac:dyDescent="0.35">
      <c r="A6077" t="s">
        <v>125</v>
      </c>
      <c r="B6077">
        <v>2005</v>
      </c>
      <c r="C6077">
        <v>5896.4048611025255</v>
      </c>
    </row>
    <row r="6078" spans="1:3" x14ac:dyDescent="0.35">
      <c r="A6078" t="s">
        <v>125</v>
      </c>
      <c r="B6078">
        <v>2006</v>
      </c>
      <c r="C6078">
        <v>6619.4137588780468</v>
      </c>
    </row>
    <row r="6079" spans="1:3" x14ac:dyDescent="0.35">
      <c r="A6079" t="s">
        <v>125</v>
      </c>
      <c r="B6079">
        <v>2007</v>
      </c>
      <c r="C6079">
        <v>8589.1363644574503</v>
      </c>
    </row>
    <row r="6080" spans="1:3" x14ac:dyDescent="0.35">
      <c r="A6080" t="s">
        <v>125</v>
      </c>
      <c r="B6080">
        <v>2008</v>
      </c>
      <c r="C6080">
        <v>9349.4213942986171</v>
      </c>
    </row>
    <row r="6081" spans="1:3" x14ac:dyDescent="0.35">
      <c r="A6081" t="s">
        <v>125</v>
      </c>
      <c r="B6081">
        <v>2009</v>
      </c>
      <c r="C6081">
        <v>7903.8120084355187</v>
      </c>
    </row>
    <row r="6082" spans="1:3" x14ac:dyDescent="0.35">
      <c r="A6082" t="s">
        <v>125</v>
      </c>
      <c r="B6082">
        <v>2010</v>
      </c>
      <c r="C6082">
        <v>8790.1701323251418</v>
      </c>
    </row>
    <row r="6083" spans="1:3" x14ac:dyDescent="0.35">
      <c r="A6083" t="s">
        <v>125</v>
      </c>
      <c r="B6083">
        <v>2011</v>
      </c>
      <c r="C6083">
        <v>9455.4229880014173</v>
      </c>
    </row>
    <row r="6084" spans="1:3" x14ac:dyDescent="0.35">
      <c r="A6084" t="s">
        <v>125</v>
      </c>
      <c r="B6084">
        <v>2012</v>
      </c>
      <c r="C6084">
        <v>8986.8387920922196</v>
      </c>
    </row>
    <row r="6085" spans="1:3" x14ac:dyDescent="0.35">
      <c r="A6085" t="s">
        <v>125</v>
      </c>
      <c r="B6085">
        <v>2013</v>
      </c>
      <c r="C6085">
        <v>9275.7117274458815</v>
      </c>
    </row>
    <row r="6086" spans="1:3" x14ac:dyDescent="0.35">
      <c r="A6086" t="s">
        <v>125</v>
      </c>
      <c r="B6086">
        <v>2014</v>
      </c>
      <c r="C6086">
        <v>10345.153574872198</v>
      </c>
    </row>
    <row r="6087" spans="1:3" x14ac:dyDescent="0.35">
      <c r="A6087" t="s">
        <v>125</v>
      </c>
      <c r="B6087">
        <v>2015</v>
      </c>
      <c r="C6087">
        <v>10212.785780607508</v>
      </c>
    </row>
    <row r="6088" spans="1:3" x14ac:dyDescent="0.35">
      <c r="A6088" t="s">
        <v>125</v>
      </c>
      <c r="B6088">
        <v>2016</v>
      </c>
      <c r="C6088">
        <v>9161.8019419445718</v>
      </c>
    </row>
    <row r="6089" spans="1:3" x14ac:dyDescent="0.35">
      <c r="A6089" t="s">
        <v>125</v>
      </c>
      <c r="B6089">
        <v>2017</v>
      </c>
      <c r="C6089">
        <v>9976.8918680543393</v>
      </c>
    </row>
    <row r="6090" spans="1:3" x14ac:dyDescent="0.35">
      <c r="A6090" t="s">
        <v>125</v>
      </c>
      <c r="B6090">
        <v>2018</v>
      </c>
      <c r="C6090">
        <v>12039.371859180557</v>
      </c>
    </row>
    <row r="6091" spans="1:3" x14ac:dyDescent="0.35">
      <c r="A6091" t="s">
        <v>125</v>
      </c>
      <c r="B6091">
        <v>2019</v>
      </c>
      <c r="C6091">
        <v>11772.723425036627</v>
      </c>
    </row>
    <row r="6092" spans="1:3" x14ac:dyDescent="0.35">
      <c r="A6092" t="s">
        <v>125</v>
      </c>
      <c r="B6092">
        <v>2020</v>
      </c>
      <c r="C6092">
        <v>13712.164694669968</v>
      </c>
    </row>
    <row r="6093" spans="1:3" x14ac:dyDescent="0.35">
      <c r="A6093" t="s">
        <v>125</v>
      </c>
      <c r="B6093">
        <v>2021</v>
      </c>
      <c r="C6093">
        <v>15280.029346395384</v>
      </c>
    </row>
    <row r="6094" spans="1:3" x14ac:dyDescent="0.35">
      <c r="A6094" t="s">
        <v>125</v>
      </c>
      <c r="B6094">
        <v>2022</v>
      </c>
      <c r="C6094">
        <v>15335.286233177747</v>
      </c>
    </row>
    <row r="6095" spans="1:3" x14ac:dyDescent="0.35">
      <c r="A6095" t="s">
        <v>125</v>
      </c>
      <c r="B6095">
        <v>2023</v>
      </c>
      <c r="C6095">
        <v>26459.281579573431</v>
      </c>
    </row>
    <row r="6096" spans="1:3" x14ac:dyDescent="0.35">
      <c r="A6096" t="s">
        <v>125</v>
      </c>
      <c r="B6096">
        <v>2024</v>
      </c>
      <c r="C6096">
        <v>34459.549418665534</v>
      </c>
    </row>
    <row r="6097" spans="1:3" x14ac:dyDescent="0.35">
      <c r="A6097" t="s">
        <v>125</v>
      </c>
      <c r="B6097">
        <v>2025</v>
      </c>
      <c r="C6097">
        <v>46760.133894597915</v>
      </c>
    </row>
    <row r="6098" spans="1:3" x14ac:dyDescent="0.35">
      <c r="A6098" t="s">
        <v>126</v>
      </c>
      <c r="B6098">
        <v>1957</v>
      </c>
      <c r="C6098">
        <v>833.50000000000011</v>
      </c>
    </row>
    <row r="6099" spans="1:3" x14ac:dyDescent="0.35">
      <c r="A6099" t="s">
        <v>126</v>
      </c>
      <c r="B6099">
        <v>1958</v>
      </c>
      <c r="C6099">
        <v>785.50000000000011</v>
      </c>
    </row>
    <row r="6100" spans="1:3" x14ac:dyDescent="0.35">
      <c r="A6100" t="s">
        <v>126</v>
      </c>
      <c r="B6100">
        <v>1959</v>
      </c>
      <c r="C6100">
        <v>752.50000000000011</v>
      </c>
    </row>
    <row r="6101" spans="1:3" x14ac:dyDescent="0.35">
      <c r="A6101" t="s">
        <v>126</v>
      </c>
      <c r="B6101">
        <v>1960</v>
      </c>
      <c r="C6101">
        <v>740.83333333333337</v>
      </c>
    </row>
    <row r="6102" spans="1:3" x14ac:dyDescent="0.35">
      <c r="A6102" t="s">
        <v>126</v>
      </c>
      <c r="B6102">
        <v>1961</v>
      </c>
      <c r="C6102">
        <v>794.66666666666674</v>
      </c>
    </row>
    <row r="6103" spans="1:3" x14ac:dyDescent="0.35">
      <c r="A6103" t="s">
        <v>126</v>
      </c>
      <c r="B6103">
        <v>1962</v>
      </c>
      <c r="C6103">
        <v>902.00000000000011</v>
      </c>
    </row>
    <row r="6104" spans="1:3" x14ac:dyDescent="0.35">
      <c r="A6104" t="s">
        <v>126</v>
      </c>
      <c r="B6104">
        <v>1963</v>
      </c>
      <c r="C6104">
        <v>904.83333333333337</v>
      </c>
    </row>
    <row r="6105" spans="1:3" x14ac:dyDescent="0.35">
      <c r="A6105" t="s">
        <v>126</v>
      </c>
      <c r="B6105">
        <v>1964</v>
      </c>
      <c r="C6105">
        <v>949.16666666666674</v>
      </c>
    </row>
    <row r="6106" spans="1:3" x14ac:dyDescent="0.35">
      <c r="A6106" t="s">
        <v>126</v>
      </c>
      <c r="B6106">
        <v>1965</v>
      </c>
      <c r="C6106">
        <v>1034.0000000000002</v>
      </c>
    </row>
    <row r="6107" spans="1:3" x14ac:dyDescent="0.35">
      <c r="A6107" t="s">
        <v>126</v>
      </c>
      <c r="B6107">
        <v>1966</v>
      </c>
      <c r="C6107">
        <v>1076</v>
      </c>
    </row>
    <row r="6108" spans="1:3" x14ac:dyDescent="0.35">
      <c r="A6108" t="s">
        <v>126</v>
      </c>
      <c r="B6108">
        <v>1967</v>
      </c>
      <c r="C6108">
        <v>1123.8333333333335</v>
      </c>
    </row>
    <row r="6109" spans="1:3" x14ac:dyDescent="0.35">
      <c r="A6109" t="s">
        <v>126</v>
      </c>
      <c r="B6109">
        <v>1968</v>
      </c>
      <c r="C6109">
        <v>1255.8333333333335</v>
      </c>
    </row>
    <row r="6110" spans="1:3" x14ac:dyDescent="0.35">
      <c r="A6110" t="s">
        <v>126</v>
      </c>
      <c r="B6110">
        <v>1969</v>
      </c>
      <c r="C6110">
        <v>1380.0000000000002</v>
      </c>
    </row>
    <row r="6111" spans="1:3" x14ac:dyDescent="0.35">
      <c r="A6111" t="s">
        <v>126</v>
      </c>
      <c r="B6111">
        <v>1970</v>
      </c>
      <c r="C6111">
        <v>1542.0000000000002</v>
      </c>
    </row>
    <row r="6112" spans="1:3" x14ac:dyDescent="0.35">
      <c r="A6112" t="s">
        <v>126</v>
      </c>
      <c r="B6112">
        <v>1971</v>
      </c>
      <c r="C6112">
        <v>1618.3333333333335</v>
      </c>
    </row>
    <row r="6113" spans="1:3" x14ac:dyDescent="0.35">
      <c r="A6113" t="s">
        <v>126</v>
      </c>
      <c r="B6113">
        <v>1972</v>
      </c>
      <c r="C6113">
        <v>1824.5931283905966</v>
      </c>
    </row>
    <row r="6114" spans="1:3" x14ac:dyDescent="0.35">
      <c r="A6114" t="s">
        <v>126</v>
      </c>
      <c r="B6114">
        <v>1973</v>
      </c>
      <c r="C6114">
        <v>545.3810218045993</v>
      </c>
    </row>
    <row r="6115" spans="1:3" x14ac:dyDescent="0.35">
      <c r="A6115" t="s">
        <v>126</v>
      </c>
      <c r="B6115">
        <v>1974</v>
      </c>
      <c r="C6115">
        <v>565.5</v>
      </c>
    </row>
    <row r="6116" spans="1:3" x14ac:dyDescent="0.35">
      <c r="A6116" t="s">
        <v>126</v>
      </c>
      <c r="B6116">
        <v>1975</v>
      </c>
      <c r="C6116">
        <v>635.5</v>
      </c>
    </row>
    <row r="6117" spans="1:3" x14ac:dyDescent="0.35">
      <c r="A6117" t="s">
        <v>126</v>
      </c>
      <c r="B6117">
        <v>1976</v>
      </c>
      <c r="C6117">
        <v>691.5</v>
      </c>
    </row>
    <row r="6118" spans="1:3" x14ac:dyDescent="0.35">
      <c r="A6118" t="s">
        <v>126</v>
      </c>
      <c r="B6118">
        <v>1977</v>
      </c>
      <c r="C6118">
        <v>717</v>
      </c>
    </row>
    <row r="6119" spans="1:3" x14ac:dyDescent="0.35">
      <c r="A6119" t="s">
        <v>126</v>
      </c>
      <c r="B6119">
        <v>1978</v>
      </c>
      <c r="C6119">
        <v>834.41356847964619</v>
      </c>
    </row>
    <row r="6120" spans="1:3" x14ac:dyDescent="0.35">
      <c r="A6120" t="s">
        <v>126</v>
      </c>
      <c r="B6120">
        <v>1979</v>
      </c>
      <c r="C6120">
        <v>860</v>
      </c>
    </row>
    <row r="6121" spans="1:3" x14ac:dyDescent="0.35">
      <c r="A6121" t="s">
        <v>126</v>
      </c>
      <c r="B6121">
        <v>1980</v>
      </c>
      <c r="C6121">
        <v>755.55555555555554</v>
      </c>
    </row>
    <row r="6122" spans="1:3" x14ac:dyDescent="0.35">
      <c r="A6122" t="s">
        <v>126</v>
      </c>
      <c r="B6122">
        <v>1981</v>
      </c>
      <c r="C6122">
        <v>915.33333333333337</v>
      </c>
    </row>
    <row r="6123" spans="1:3" x14ac:dyDescent="0.35">
      <c r="A6123" t="s">
        <v>126</v>
      </c>
      <c r="B6123">
        <v>1982</v>
      </c>
      <c r="C6123">
        <v>989.33333333333326</v>
      </c>
    </row>
    <row r="6124" spans="1:3" x14ac:dyDescent="0.35">
      <c r="A6124" t="s">
        <v>126</v>
      </c>
      <c r="B6124">
        <v>1983</v>
      </c>
      <c r="C6124">
        <v>888.31970195302267</v>
      </c>
    </row>
    <row r="6125" spans="1:3" x14ac:dyDescent="0.35">
      <c r="A6125" t="s">
        <v>126</v>
      </c>
      <c r="B6125">
        <v>1984</v>
      </c>
      <c r="C6125">
        <v>731.19613537466751</v>
      </c>
    </row>
    <row r="6126" spans="1:3" x14ac:dyDescent="0.35">
      <c r="A6126" t="s">
        <v>126</v>
      </c>
      <c r="B6126">
        <v>1985</v>
      </c>
      <c r="C6126">
        <v>2050.0075839779715</v>
      </c>
    </row>
    <row r="6127" spans="1:3" x14ac:dyDescent="0.35">
      <c r="A6127" t="s">
        <v>126</v>
      </c>
      <c r="B6127">
        <v>1986</v>
      </c>
      <c r="C6127">
        <v>2307.8732650711304</v>
      </c>
    </row>
    <row r="6128" spans="1:3" x14ac:dyDescent="0.35">
      <c r="A6128" t="s">
        <v>126</v>
      </c>
      <c r="B6128">
        <v>1987</v>
      </c>
      <c r="C6128">
        <v>2272.4462457924024</v>
      </c>
    </row>
    <row r="6129" spans="1:3" x14ac:dyDescent="0.35">
      <c r="A6129" t="s">
        <v>126</v>
      </c>
      <c r="B6129">
        <v>1988</v>
      </c>
      <c r="C6129">
        <v>2524.3575285951433</v>
      </c>
    </row>
    <row r="6130" spans="1:3" x14ac:dyDescent="0.35">
      <c r="A6130" t="s">
        <v>126</v>
      </c>
      <c r="B6130">
        <v>1989</v>
      </c>
      <c r="C6130">
        <v>2572.1102294660091</v>
      </c>
    </row>
    <row r="6131" spans="1:3" x14ac:dyDescent="0.35">
      <c r="A6131" t="s">
        <v>126</v>
      </c>
      <c r="B6131">
        <v>1990</v>
      </c>
      <c r="C6131">
        <v>1739.0257711048009</v>
      </c>
    </row>
    <row r="6132" spans="1:3" x14ac:dyDescent="0.35">
      <c r="A6132" t="s">
        <v>126</v>
      </c>
      <c r="B6132">
        <v>1991</v>
      </c>
      <c r="C6132">
        <v>1377.1940848728582</v>
      </c>
    </row>
    <row r="6133" spans="1:3" x14ac:dyDescent="0.35">
      <c r="A6133" t="s">
        <v>126</v>
      </c>
      <c r="B6133">
        <v>1992</v>
      </c>
      <c r="C6133">
        <v>831.62040960795957</v>
      </c>
    </row>
    <row r="6134" spans="1:3" x14ac:dyDescent="0.35">
      <c r="A6134" t="s">
        <v>126</v>
      </c>
      <c r="B6134">
        <v>1993</v>
      </c>
      <c r="C6134">
        <v>722.4515197006516</v>
      </c>
    </row>
    <row r="6135" spans="1:3" x14ac:dyDescent="0.35">
      <c r="A6135" t="s">
        <v>126</v>
      </c>
      <c r="B6135">
        <v>1994</v>
      </c>
      <c r="C6135">
        <v>936.68622250149554</v>
      </c>
    </row>
    <row r="6136" spans="1:3" x14ac:dyDescent="0.35">
      <c r="A6136" t="s">
        <v>126</v>
      </c>
      <c r="B6136">
        <v>1995</v>
      </c>
      <c r="C6136">
        <v>983.14054139124949</v>
      </c>
    </row>
    <row r="6137" spans="1:3" x14ac:dyDescent="0.35">
      <c r="A6137" t="s">
        <v>126</v>
      </c>
      <c r="B6137">
        <v>1996</v>
      </c>
      <c r="C6137">
        <v>874.45123888697958</v>
      </c>
    </row>
    <row r="6138" spans="1:3" x14ac:dyDescent="0.35">
      <c r="A6138" t="s">
        <v>126</v>
      </c>
      <c r="B6138">
        <v>1997</v>
      </c>
      <c r="C6138">
        <v>1074.7857822470612</v>
      </c>
    </row>
    <row r="6139" spans="1:3" x14ac:dyDescent="0.35">
      <c r="A6139" t="s">
        <v>126</v>
      </c>
      <c r="B6139">
        <v>1998</v>
      </c>
      <c r="C6139">
        <v>1254.2278927123637</v>
      </c>
    </row>
    <row r="6140" spans="1:3" x14ac:dyDescent="0.35">
      <c r="A6140" t="s">
        <v>126</v>
      </c>
      <c r="B6140">
        <v>1999</v>
      </c>
      <c r="C6140">
        <v>955.3375769591986</v>
      </c>
    </row>
    <row r="6141" spans="1:3" x14ac:dyDescent="0.35">
      <c r="A6141" t="s">
        <v>126</v>
      </c>
      <c r="B6141">
        <v>2000</v>
      </c>
      <c r="C6141">
        <v>935.56961034055473</v>
      </c>
    </row>
    <row r="6142" spans="1:3" x14ac:dyDescent="0.35">
      <c r="A6142" t="s">
        <v>126</v>
      </c>
      <c r="B6142">
        <v>2001</v>
      </c>
      <c r="C6142">
        <v>985.65765567362212</v>
      </c>
    </row>
    <row r="6143" spans="1:3" x14ac:dyDescent="0.35">
      <c r="A6143" t="s">
        <v>126</v>
      </c>
      <c r="B6143">
        <v>2002</v>
      </c>
      <c r="C6143">
        <v>1056.1360624890335</v>
      </c>
    </row>
    <row r="6144" spans="1:3" x14ac:dyDescent="0.35">
      <c r="A6144" t="s">
        <v>126</v>
      </c>
      <c r="B6144">
        <v>2003</v>
      </c>
      <c r="C6144">
        <v>1250.3275592543398</v>
      </c>
    </row>
    <row r="6145" spans="1:3" x14ac:dyDescent="0.35">
      <c r="A6145" t="s">
        <v>126</v>
      </c>
      <c r="B6145">
        <v>2004</v>
      </c>
      <c r="C6145">
        <v>1530.1839039605841</v>
      </c>
    </row>
    <row r="6146" spans="1:3" x14ac:dyDescent="0.35">
      <c r="A6146" t="s">
        <v>126</v>
      </c>
      <c r="B6146">
        <v>2005</v>
      </c>
      <c r="C6146">
        <v>1975.975151442349</v>
      </c>
    </row>
    <row r="6147" spans="1:3" x14ac:dyDescent="0.35">
      <c r="A6147" t="s">
        <v>126</v>
      </c>
      <c r="B6147">
        <v>2006</v>
      </c>
      <c r="C6147">
        <v>2251.4934246594848</v>
      </c>
    </row>
    <row r="6148" spans="1:3" x14ac:dyDescent="0.35">
      <c r="A6148" t="s">
        <v>126</v>
      </c>
      <c r="B6148">
        <v>2007</v>
      </c>
      <c r="C6148">
        <v>2607.689941556444</v>
      </c>
    </row>
    <row r="6149" spans="1:3" x14ac:dyDescent="0.35">
      <c r="A6149" t="s">
        <v>126</v>
      </c>
      <c r="B6149">
        <v>2008</v>
      </c>
      <c r="C6149">
        <v>3000.4049450942093</v>
      </c>
    </row>
    <row r="6150" spans="1:3" x14ac:dyDescent="0.35">
      <c r="A6150" t="s">
        <v>126</v>
      </c>
      <c r="B6150">
        <v>2009</v>
      </c>
      <c r="C6150">
        <v>2225.1445399481195</v>
      </c>
    </row>
    <row r="6151" spans="1:3" x14ac:dyDescent="0.35">
      <c r="A6151" t="s">
        <v>126</v>
      </c>
      <c r="B6151">
        <v>2010</v>
      </c>
      <c r="C6151">
        <v>2086.2204600522355</v>
      </c>
    </row>
    <row r="6152" spans="1:3" x14ac:dyDescent="0.35">
      <c r="A6152" t="s">
        <v>126</v>
      </c>
      <c r="B6152">
        <v>2011</v>
      </c>
      <c r="C6152">
        <v>2379.8714824132967</v>
      </c>
    </row>
    <row r="6153" spans="1:3" x14ac:dyDescent="0.35">
      <c r="A6153" t="s">
        <v>126</v>
      </c>
      <c r="B6153">
        <v>2012</v>
      </c>
      <c r="C6153">
        <v>2102.8862234011881</v>
      </c>
    </row>
    <row r="6154" spans="1:3" x14ac:dyDescent="0.35">
      <c r="A6154" t="s">
        <v>126</v>
      </c>
      <c r="B6154">
        <v>2013</v>
      </c>
      <c r="C6154">
        <v>2452.5129810812759</v>
      </c>
    </row>
    <row r="6155" spans="1:3" x14ac:dyDescent="0.35">
      <c r="A6155" t="s">
        <v>126</v>
      </c>
      <c r="B6155">
        <v>2014</v>
      </c>
      <c r="C6155">
        <v>2691.470287458852</v>
      </c>
    </row>
    <row r="6156" spans="1:3" x14ac:dyDescent="0.35">
      <c r="A6156" t="s">
        <v>126</v>
      </c>
      <c r="B6156">
        <v>2015</v>
      </c>
      <c r="C6156">
        <v>2580.5941582757741</v>
      </c>
    </row>
    <row r="6157" spans="1:3" x14ac:dyDescent="0.35">
      <c r="A6157" t="s">
        <v>126</v>
      </c>
      <c r="B6157">
        <v>2016</v>
      </c>
      <c r="C6157">
        <v>2645.3596987899891</v>
      </c>
    </row>
    <row r="6158" spans="1:3" x14ac:dyDescent="0.35">
      <c r="A6158" t="s">
        <v>126</v>
      </c>
      <c r="B6158">
        <v>2017</v>
      </c>
      <c r="C6158">
        <v>3643.4374736530463</v>
      </c>
    </row>
    <row r="6159" spans="1:3" x14ac:dyDescent="0.35">
      <c r="A6159" t="s">
        <v>126</v>
      </c>
      <c r="B6159">
        <v>2018</v>
      </c>
      <c r="C6159">
        <v>4358.8713598904078</v>
      </c>
    </row>
    <row r="6160" spans="1:3" x14ac:dyDescent="0.35">
      <c r="A6160" t="s">
        <v>126</v>
      </c>
      <c r="B6160">
        <v>2019</v>
      </c>
      <c r="C6160">
        <v>4607.6794657762939</v>
      </c>
    </row>
    <row r="6161" spans="1:3" x14ac:dyDescent="0.35">
      <c r="A6161" t="s">
        <v>126</v>
      </c>
      <c r="B6161">
        <v>2020</v>
      </c>
      <c r="C6161">
        <v>5051.1409266826313</v>
      </c>
    </row>
    <row r="6162" spans="1:3" x14ac:dyDescent="0.35">
      <c r="A6162" t="s">
        <v>126</v>
      </c>
      <c r="B6162">
        <v>2021</v>
      </c>
      <c r="C6162">
        <v>5294.902353530304</v>
      </c>
    </row>
    <row r="6163" spans="1:3" x14ac:dyDescent="0.35">
      <c r="A6163" t="s">
        <v>126</v>
      </c>
      <c r="B6163">
        <v>2022</v>
      </c>
      <c r="C6163">
        <v>5186.5478647108066</v>
      </c>
    </row>
    <row r="6164" spans="1:3" x14ac:dyDescent="0.35">
      <c r="A6164" t="s">
        <v>126</v>
      </c>
      <c r="B6164">
        <v>2023</v>
      </c>
      <c r="C6164">
        <v>5624.9801881894364</v>
      </c>
    </row>
    <row r="6165" spans="1:3" x14ac:dyDescent="0.35">
      <c r="A6165" t="s">
        <v>126</v>
      </c>
      <c r="B6165">
        <v>2024</v>
      </c>
      <c r="C6165">
        <v>8315.3722782504701</v>
      </c>
    </row>
    <row r="6166" spans="1:3" x14ac:dyDescent="0.35">
      <c r="A6166" t="s">
        <v>126</v>
      </c>
      <c r="B6166">
        <v>2025</v>
      </c>
      <c r="C6166">
        <v>9725.3503629538609</v>
      </c>
    </row>
    <row r="6167" spans="1:3" x14ac:dyDescent="0.35">
      <c r="A6167" t="s">
        <v>127</v>
      </c>
      <c r="B6167">
        <v>1997</v>
      </c>
      <c r="C6167">
        <v>914.36496794817583</v>
      </c>
    </row>
    <row r="6168" spans="1:3" x14ac:dyDescent="0.35">
      <c r="A6168" t="s">
        <v>127</v>
      </c>
      <c r="B6168">
        <v>1998</v>
      </c>
      <c r="C6168">
        <v>642.12226342863994</v>
      </c>
    </row>
    <row r="6169" spans="1:3" x14ac:dyDescent="0.35">
      <c r="A6169" t="s">
        <v>127</v>
      </c>
      <c r="B6169">
        <v>1999</v>
      </c>
      <c r="C6169">
        <v>737.46945075676365</v>
      </c>
    </row>
    <row r="6170" spans="1:3" x14ac:dyDescent="0.35">
      <c r="A6170" t="s">
        <v>127</v>
      </c>
      <c r="B6170">
        <v>2000</v>
      </c>
      <c r="C6170">
        <v>337.08060836622292</v>
      </c>
    </row>
    <row r="6171" spans="1:3" x14ac:dyDescent="0.35">
      <c r="A6171" t="s">
        <v>127</v>
      </c>
      <c r="B6171">
        <v>2001</v>
      </c>
      <c r="C6171">
        <v>494.06922648127357</v>
      </c>
    </row>
    <row r="6172" spans="1:3" x14ac:dyDescent="0.35">
      <c r="A6172" t="s">
        <v>127</v>
      </c>
      <c r="B6172">
        <v>2002</v>
      </c>
      <c r="C6172">
        <v>678.51169984300816</v>
      </c>
    </row>
    <row r="6173" spans="1:3" x14ac:dyDescent="0.35">
      <c r="A6173" t="s">
        <v>127</v>
      </c>
      <c r="B6173">
        <v>2003</v>
      </c>
      <c r="C6173">
        <v>730.56712291657254</v>
      </c>
    </row>
    <row r="6174" spans="1:3" x14ac:dyDescent="0.35">
      <c r="A6174" t="s">
        <v>127</v>
      </c>
      <c r="B6174">
        <v>2004</v>
      </c>
      <c r="C6174">
        <v>739.17206507552066</v>
      </c>
    </row>
    <row r="6175" spans="1:3" x14ac:dyDescent="0.35">
      <c r="A6175" t="s">
        <v>127</v>
      </c>
      <c r="B6175">
        <v>2005</v>
      </c>
      <c r="C6175">
        <v>629.50094283341673</v>
      </c>
    </row>
    <row r="6176" spans="1:3" x14ac:dyDescent="0.35">
      <c r="A6176" t="s">
        <v>127</v>
      </c>
      <c r="B6176">
        <v>2006</v>
      </c>
      <c r="C6176">
        <v>705.06271427252341</v>
      </c>
    </row>
    <row r="6177" spans="1:3" x14ac:dyDescent="0.35">
      <c r="A6177" t="s">
        <v>127</v>
      </c>
      <c r="B6177">
        <v>2007</v>
      </c>
      <c r="C6177">
        <v>971.57056463684808</v>
      </c>
    </row>
    <row r="6178" spans="1:3" x14ac:dyDescent="0.35">
      <c r="A6178" t="s">
        <v>127</v>
      </c>
      <c r="B6178">
        <v>2008</v>
      </c>
      <c r="C6178">
        <v>1111.6315378610461</v>
      </c>
    </row>
    <row r="6179" spans="1:3" x14ac:dyDescent="0.35">
      <c r="A6179" t="s">
        <v>127</v>
      </c>
      <c r="B6179">
        <v>2009</v>
      </c>
      <c r="C6179">
        <v>974.28847923812452</v>
      </c>
    </row>
    <row r="6180" spans="1:3" x14ac:dyDescent="0.35">
      <c r="A6180" t="s">
        <v>127</v>
      </c>
      <c r="B6180">
        <v>2010</v>
      </c>
      <c r="C6180">
        <v>872.33963171999096</v>
      </c>
    </row>
    <row r="6181" spans="1:3" x14ac:dyDescent="0.35">
      <c r="A6181" t="s">
        <v>127</v>
      </c>
      <c r="B6181">
        <v>2011</v>
      </c>
      <c r="C6181">
        <v>986.95819367436945</v>
      </c>
    </row>
    <row r="6182" spans="1:3" x14ac:dyDescent="0.35">
      <c r="A6182" t="s">
        <v>127</v>
      </c>
      <c r="B6182">
        <v>2012</v>
      </c>
      <c r="C6182">
        <v>865.07241974553642</v>
      </c>
    </row>
    <row r="6183" spans="1:3" x14ac:dyDescent="0.35">
      <c r="A6183" t="s">
        <v>127</v>
      </c>
      <c r="B6183">
        <v>2013</v>
      </c>
      <c r="C6183">
        <v>932.20359530242877</v>
      </c>
    </row>
    <row r="6184" spans="1:3" x14ac:dyDescent="0.35">
      <c r="A6184" t="s">
        <v>127</v>
      </c>
      <c r="B6184">
        <v>2014</v>
      </c>
      <c r="C6184">
        <v>918.55717828407114</v>
      </c>
    </row>
    <row r="6185" spans="1:3" x14ac:dyDescent="0.35">
      <c r="A6185" t="s">
        <v>127</v>
      </c>
      <c r="B6185">
        <v>2015</v>
      </c>
      <c r="C6185">
        <v>700.1893514398879</v>
      </c>
    </row>
    <row r="6186" spans="1:3" x14ac:dyDescent="0.35">
      <c r="A6186" t="s">
        <v>127</v>
      </c>
      <c r="B6186">
        <v>2016</v>
      </c>
      <c r="C6186">
        <v>784.30470497048611</v>
      </c>
    </row>
    <row r="6187" spans="1:3" x14ac:dyDescent="0.35">
      <c r="A6187" t="s">
        <v>127</v>
      </c>
      <c r="B6187">
        <v>2017</v>
      </c>
      <c r="C6187">
        <v>806.4742415124141</v>
      </c>
    </row>
    <row r="6188" spans="1:3" x14ac:dyDescent="0.35">
      <c r="A6188" t="s">
        <v>127</v>
      </c>
      <c r="B6188">
        <v>2018</v>
      </c>
      <c r="C6188">
        <v>1064.8422423641807</v>
      </c>
    </row>
    <row r="6189" spans="1:3" x14ac:dyDescent="0.35">
      <c r="A6189" t="s">
        <v>127</v>
      </c>
      <c r="B6189">
        <v>2019</v>
      </c>
      <c r="C6189">
        <v>1175.4500792579452</v>
      </c>
    </row>
    <row r="6190" spans="1:3" x14ac:dyDescent="0.35">
      <c r="A6190" t="s">
        <v>127</v>
      </c>
      <c r="B6190">
        <v>2020</v>
      </c>
      <c r="C6190">
        <v>1282.5132746685254</v>
      </c>
    </row>
    <row r="6191" spans="1:3" x14ac:dyDescent="0.35">
      <c r="A6191" t="s">
        <v>127</v>
      </c>
      <c r="B6191">
        <v>2021</v>
      </c>
      <c r="C6191">
        <v>1805.5303001187267</v>
      </c>
    </row>
    <row r="6192" spans="1:3" x14ac:dyDescent="0.35">
      <c r="A6192" t="s">
        <v>127</v>
      </c>
      <c r="B6192">
        <v>2022</v>
      </c>
      <c r="C6192">
        <v>1451.2933718682184</v>
      </c>
    </row>
    <row r="6193" spans="1:3" x14ac:dyDescent="0.35">
      <c r="A6193" t="s">
        <v>127</v>
      </c>
      <c r="B6193">
        <v>2023</v>
      </c>
      <c r="C6193">
        <v>1796.1054805788681</v>
      </c>
    </row>
    <row r="6194" spans="1:3" x14ac:dyDescent="0.35">
      <c r="A6194" t="s">
        <v>127</v>
      </c>
      <c r="B6194">
        <v>2024</v>
      </c>
      <c r="C6194">
        <v>2403.5567975273639</v>
      </c>
    </row>
    <row r="6195" spans="1:3" x14ac:dyDescent="0.35">
      <c r="A6195" t="s">
        <v>127</v>
      </c>
      <c r="B6195">
        <v>2025</v>
      </c>
      <c r="C6195">
        <v>2781.2956962853868</v>
      </c>
    </row>
    <row r="6196" spans="1:3" x14ac:dyDescent="0.35">
      <c r="A6196" t="s">
        <v>128</v>
      </c>
      <c r="B6196">
        <v>1993</v>
      </c>
      <c r="C6196">
        <v>266.89903657867939</v>
      </c>
    </row>
    <row r="6197" spans="1:3" x14ac:dyDescent="0.35">
      <c r="A6197" t="s">
        <v>128</v>
      </c>
      <c r="B6197">
        <v>1994</v>
      </c>
      <c r="C6197">
        <v>299.99341913527434</v>
      </c>
    </row>
    <row r="6198" spans="1:3" x14ac:dyDescent="0.35">
      <c r="A6198" t="s">
        <v>128</v>
      </c>
      <c r="B6198">
        <v>1995</v>
      </c>
      <c r="C6198">
        <v>629.62268263873761</v>
      </c>
    </row>
    <row r="6199" spans="1:3" x14ac:dyDescent="0.35">
      <c r="A6199" t="s">
        <v>128</v>
      </c>
      <c r="B6199">
        <v>1996</v>
      </c>
      <c r="C6199">
        <v>641.55987105904558</v>
      </c>
    </row>
    <row r="6200" spans="1:3" x14ac:dyDescent="0.35">
      <c r="A6200" t="s">
        <v>128</v>
      </c>
      <c r="B6200">
        <v>1997</v>
      </c>
      <c r="C6200">
        <v>499.52950665412015</v>
      </c>
    </row>
    <row r="6201" spans="1:3" x14ac:dyDescent="0.35">
      <c r="A6201" t="s">
        <v>128</v>
      </c>
      <c r="B6201">
        <v>1998</v>
      </c>
      <c r="C6201">
        <v>397.59221574294168</v>
      </c>
    </row>
    <row r="6202" spans="1:3" x14ac:dyDescent="0.35">
      <c r="A6202" t="s">
        <v>128</v>
      </c>
      <c r="B6202">
        <v>1999</v>
      </c>
      <c r="C6202">
        <v>327.16917093351009</v>
      </c>
    </row>
    <row r="6203" spans="1:3" x14ac:dyDescent="0.35">
      <c r="A6203" t="s">
        <v>128</v>
      </c>
      <c r="B6203">
        <v>2000</v>
      </c>
      <c r="C6203">
        <v>342.32276894685526</v>
      </c>
    </row>
    <row r="6204" spans="1:3" x14ac:dyDescent="0.35">
      <c r="A6204" t="s">
        <v>128</v>
      </c>
      <c r="B6204">
        <v>2001</v>
      </c>
      <c r="C6204">
        <v>393.99659832158949</v>
      </c>
    </row>
    <row r="6205" spans="1:3" x14ac:dyDescent="0.35">
      <c r="A6205" t="s">
        <v>128</v>
      </c>
      <c r="B6205">
        <v>2002</v>
      </c>
      <c r="C6205">
        <v>440.05928604185914</v>
      </c>
    </row>
    <row r="6206" spans="1:3" x14ac:dyDescent="0.35">
      <c r="A6206" t="s">
        <v>128</v>
      </c>
      <c r="B6206">
        <v>2003</v>
      </c>
      <c r="C6206">
        <v>624.5084545812033</v>
      </c>
    </row>
    <row r="6207" spans="1:3" x14ac:dyDescent="0.35">
      <c r="A6207" t="s">
        <v>128</v>
      </c>
      <c r="B6207">
        <v>2004</v>
      </c>
      <c r="C6207">
        <v>711.2904280257394</v>
      </c>
    </row>
    <row r="6208" spans="1:3" x14ac:dyDescent="0.35">
      <c r="A6208" t="s">
        <v>128</v>
      </c>
      <c r="B6208">
        <v>2005</v>
      </c>
      <c r="C6208">
        <v>823.31345544958344</v>
      </c>
    </row>
    <row r="6209" spans="1:3" x14ac:dyDescent="0.35">
      <c r="A6209" t="s">
        <v>128</v>
      </c>
      <c r="B6209">
        <v>2006</v>
      </c>
      <c r="C6209">
        <v>911.37062676004894</v>
      </c>
    </row>
    <row r="6210" spans="1:3" x14ac:dyDescent="0.35">
      <c r="A6210" t="s">
        <v>128</v>
      </c>
      <c r="B6210">
        <v>2007</v>
      </c>
      <c r="C6210">
        <v>1139.1944877528663</v>
      </c>
    </row>
    <row r="6211" spans="1:3" x14ac:dyDescent="0.35">
      <c r="A6211" t="s">
        <v>128</v>
      </c>
      <c r="B6211">
        <v>2008</v>
      </c>
      <c r="C6211">
        <v>1411.7102848947</v>
      </c>
    </row>
    <row r="6212" spans="1:3" x14ac:dyDescent="0.35">
      <c r="A6212" t="s">
        <v>128</v>
      </c>
      <c r="B6212">
        <v>2009</v>
      </c>
      <c r="C6212">
        <v>1350.2944392041043</v>
      </c>
    </row>
    <row r="6213" spans="1:3" x14ac:dyDescent="0.35">
      <c r="A6213" t="s">
        <v>128</v>
      </c>
      <c r="B6213">
        <v>2010</v>
      </c>
      <c r="C6213">
        <v>1137.680535597216</v>
      </c>
    </row>
    <row r="6214" spans="1:3" x14ac:dyDescent="0.35">
      <c r="A6214" t="s">
        <v>128</v>
      </c>
      <c r="B6214">
        <v>2011</v>
      </c>
      <c r="C6214">
        <v>1064.842810573361</v>
      </c>
    </row>
    <row r="6215" spans="1:3" x14ac:dyDescent="0.35">
      <c r="A6215" t="s">
        <v>128</v>
      </c>
      <c r="B6215">
        <v>2012</v>
      </c>
      <c r="C6215">
        <v>1020.1800347940494</v>
      </c>
    </row>
    <row r="6216" spans="1:3" x14ac:dyDescent="0.35">
      <c r="A6216" t="s">
        <v>128</v>
      </c>
      <c r="B6216">
        <v>2013</v>
      </c>
      <c r="C6216">
        <v>967.92310786965299</v>
      </c>
    </row>
    <row r="6217" spans="1:3" x14ac:dyDescent="0.35">
      <c r="A6217" t="s">
        <v>128</v>
      </c>
      <c r="B6217">
        <v>2014</v>
      </c>
      <c r="C6217">
        <v>997.70382180266779</v>
      </c>
    </row>
    <row r="6218" spans="1:3" x14ac:dyDescent="0.35">
      <c r="A6218" t="s">
        <v>128</v>
      </c>
      <c r="B6218">
        <v>2015</v>
      </c>
      <c r="C6218">
        <v>985.91549295774655</v>
      </c>
    </row>
    <row r="6219" spans="1:3" x14ac:dyDescent="0.35">
      <c r="A6219" t="s">
        <v>128</v>
      </c>
      <c r="B6219">
        <v>2016</v>
      </c>
      <c r="C6219">
        <v>1003.0480836894296</v>
      </c>
    </row>
    <row r="6220" spans="1:3" x14ac:dyDescent="0.35">
      <c r="A6220" t="s">
        <v>128</v>
      </c>
      <c r="B6220">
        <v>2017</v>
      </c>
      <c r="C6220">
        <v>1049.0743469102863</v>
      </c>
    </row>
    <row r="6221" spans="1:3" x14ac:dyDescent="0.35">
      <c r="A6221" t="s">
        <v>128</v>
      </c>
      <c r="B6221">
        <v>2018</v>
      </c>
      <c r="C6221">
        <v>1285.3652491059099</v>
      </c>
    </row>
    <row r="6222" spans="1:3" x14ac:dyDescent="0.35">
      <c r="A6222" t="s">
        <v>128</v>
      </c>
      <c r="B6222">
        <v>2019</v>
      </c>
      <c r="C6222">
        <v>1798.3654276757725</v>
      </c>
    </row>
    <row r="6223" spans="1:3" x14ac:dyDescent="0.35">
      <c r="A6223" t="s">
        <v>128</v>
      </c>
      <c r="B6223">
        <v>2020</v>
      </c>
      <c r="C6223">
        <v>1969.3377407956232</v>
      </c>
    </row>
    <row r="6224" spans="1:3" x14ac:dyDescent="0.35">
      <c r="A6224" t="s">
        <v>128</v>
      </c>
      <c r="B6224">
        <v>2021</v>
      </c>
      <c r="C6224">
        <v>1984.6263008514663</v>
      </c>
    </row>
    <row r="6225" spans="1:3" x14ac:dyDescent="0.35">
      <c r="A6225" t="s">
        <v>128</v>
      </c>
      <c r="B6225">
        <v>2022</v>
      </c>
      <c r="C6225">
        <v>2066.5225037232744</v>
      </c>
    </row>
    <row r="6226" spans="1:3" x14ac:dyDescent="0.35">
      <c r="A6226" t="s">
        <v>128</v>
      </c>
      <c r="B6226">
        <v>2023</v>
      </c>
      <c r="C6226">
        <v>2304.7653208067386</v>
      </c>
    </row>
    <row r="6227" spans="1:3" x14ac:dyDescent="0.35">
      <c r="A6227" t="s">
        <v>128</v>
      </c>
      <c r="B6227">
        <v>2024</v>
      </c>
      <c r="C6227">
        <v>2786.5180214308907</v>
      </c>
    </row>
    <row r="6228" spans="1:3" x14ac:dyDescent="0.35">
      <c r="A6228" t="s">
        <v>128</v>
      </c>
      <c r="B6228">
        <v>2025</v>
      </c>
      <c r="C6228">
        <v>3118.330513254371</v>
      </c>
    </row>
    <row r="6229" spans="1:3" x14ac:dyDescent="0.35">
      <c r="A6229" t="s">
        <v>129</v>
      </c>
      <c r="B6229">
        <v>1992</v>
      </c>
      <c r="C6229">
        <v>281.42273846199203</v>
      </c>
    </row>
    <row r="6230" spans="1:3" x14ac:dyDescent="0.35">
      <c r="A6230" t="s">
        <v>129</v>
      </c>
      <c r="B6230">
        <v>1993</v>
      </c>
      <c r="C6230">
        <v>230.3036715691461</v>
      </c>
    </row>
    <row r="6231" spans="1:3" x14ac:dyDescent="0.35">
      <c r="A6231" t="s">
        <v>129</v>
      </c>
      <c r="B6231">
        <v>1994</v>
      </c>
      <c r="C6231">
        <v>237.94950410132668</v>
      </c>
    </row>
    <row r="6232" spans="1:3" x14ac:dyDescent="0.35">
      <c r="A6232" t="s">
        <v>129</v>
      </c>
      <c r="B6232">
        <v>1995</v>
      </c>
      <c r="C6232">
        <v>334.65502285828671</v>
      </c>
    </row>
    <row r="6233" spans="1:3" x14ac:dyDescent="0.35">
      <c r="A6233" t="s">
        <v>129</v>
      </c>
      <c r="B6233">
        <v>1996</v>
      </c>
      <c r="C6233">
        <v>329.97264833190235</v>
      </c>
    </row>
    <row r="6234" spans="1:3" x14ac:dyDescent="0.35">
      <c r="A6234" t="s">
        <v>129</v>
      </c>
      <c r="B6234">
        <v>1997</v>
      </c>
      <c r="C6234">
        <v>290.78527180176724</v>
      </c>
    </row>
    <row r="6235" spans="1:3" x14ac:dyDescent="0.35">
      <c r="A6235" t="s">
        <v>129</v>
      </c>
      <c r="B6235">
        <v>1998</v>
      </c>
      <c r="C6235">
        <v>301.13982223273604</v>
      </c>
    </row>
    <row r="6236" spans="1:3" x14ac:dyDescent="0.35">
      <c r="A6236" t="s">
        <v>129</v>
      </c>
      <c r="B6236">
        <v>1999</v>
      </c>
      <c r="C6236">
        <v>274.84182784910922</v>
      </c>
    </row>
    <row r="6237" spans="1:3" x14ac:dyDescent="0.35">
      <c r="A6237" t="s">
        <v>129</v>
      </c>
      <c r="B6237">
        <v>2000</v>
      </c>
      <c r="C6237">
        <v>222.39155680547438</v>
      </c>
    </row>
    <row r="6238" spans="1:3" x14ac:dyDescent="0.35">
      <c r="A6238" t="s">
        <v>129</v>
      </c>
      <c r="B6238">
        <v>2001</v>
      </c>
      <c r="C6238">
        <v>271.48879038865914</v>
      </c>
    </row>
    <row r="6239" spans="1:3" x14ac:dyDescent="0.35">
      <c r="A6239" t="s">
        <v>129</v>
      </c>
      <c r="B6239">
        <v>2002</v>
      </c>
      <c r="C6239">
        <v>326.9595228120574</v>
      </c>
    </row>
    <row r="6240" spans="1:3" x14ac:dyDescent="0.35">
      <c r="A6240" t="s">
        <v>129</v>
      </c>
      <c r="B6240">
        <v>2003</v>
      </c>
      <c r="C6240">
        <v>416.90675367651312</v>
      </c>
    </row>
    <row r="6241" spans="1:3" x14ac:dyDescent="0.35">
      <c r="A6241" t="s">
        <v>129</v>
      </c>
      <c r="B6241">
        <v>2004</v>
      </c>
      <c r="C6241">
        <v>493.15389291373111</v>
      </c>
    </row>
    <row r="6242" spans="1:3" x14ac:dyDescent="0.35">
      <c r="A6242" t="s">
        <v>129</v>
      </c>
      <c r="B6242">
        <v>2005</v>
      </c>
      <c r="C6242">
        <v>514.17279946676354</v>
      </c>
    </row>
    <row r="6243" spans="1:3" x14ac:dyDescent="0.35">
      <c r="A6243" t="s">
        <v>129</v>
      </c>
      <c r="B6243">
        <v>2006</v>
      </c>
      <c r="C6243">
        <v>608.83375337296627</v>
      </c>
    </row>
    <row r="6244" spans="1:3" x14ac:dyDescent="0.35">
      <c r="A6244" t="s">
        <v>129</v>
      </c>
      <c r="B6244">
        <v>2007</v>
      </c>
      <c r="C6244">
        <v>692.65491255587574</v>
      </c>
    </row>
    <row r="6245" spans="1:3" x14ac:dyDescent="0.35">
      <c r="A6245" t="s">
        <v>129</v>
      </c>
      <c r="B6245">
        <v>2008</v>
      </c>
      <c r="C6245">
        <v>829.38440692862628</v>
      </c>
    </row>
    <row r="6246" spans="1:3" x14ac:dyDescent="0.35">
      <c r="A6246" t="s">
        <v>129</v>
      </c>
      <c r="B6246">
        <v>2009</v>
      </c>
      <c r="C6246">
        <v>798.86864219003303</v>
      </c>
    </row>
    <row r="6247" spans="1:3" x14ac:dyDescent="0.35">
      <c r="A6247" t="s">
        <v>129</v>
      </c>
      <c r="B6247">
        <v>2010</v>
      </c>
      <c r="C6247">
        <v>772.08510751014842</v>
      </c>
    </row>
    <row r="6248" spans="1:3" x14ac:dyDescent="0.35">
      <c r="A6248" t="s">
        <v>129</v>
      </c>
      <c r="B6248">
        <v>2011</v>
      </c>
      <c r="C6248">
        <v>665.67967137227106</v>
      </c>
    </row>
    <row r="6249" spans="1:3" x14ac:dyDescent="0.35">
      <c r="A6249" t="s">
        <v>129</v>
      </c>
      <c r="B6249">
        <v>2012</v>
      </c>
      <c r="C6249">
        <v>543.49641652126309</v>
      </c>
    </row>
    <row r="6250" spans="1:3" x14ac:dyDescent="0.35">
      <c r="A6250" t="s">
        <v>129</v>
      </c>
      <c r="B6250">
        <v>2013</v>
      </c>
      <c r="C6250">
        <v>506.74293210331416</v>
      </c>
    </row>
    <row r="6251" spans="1:3" x14ac:dyDescent="0.35">
      <c r="A6251" t="s">
        <v>129</v>
      </c>
      <c r="B6251">
        <v>2014</v>
      </c>
      <c r="C6251">
        <v>486.19487039601808</v>
      </c>
    </row>
    <row r="6252" spans="1:3" x14ac:dyDescent="0.35">
      <c r="A6252" t="s">
        <v>129</v>
      </c>
      <c r="B6252">
        <v>2015</v>
      </c>
      <c r="C6252">
        <v>400.77187534656764</v>
      </c>
    </row>
    <row r="6253" spans="1:3" x14ac:dyDescent="0.35">
      <c r="A6253" t="s">
        <v>129</v>
      </c>
      <c r="B6253">
        <v>2016</v>
      </c>
      <c r="C6253">
        <v>449.17753909570104</v>
      </c>
    </row>
    <row r="6254" spans="1:3" x14ac:dyDescent="0.35">
      <c r="A6254" t="s">
        <v>129</v>
      </c>
      <c r="B6254">
        <v>2017</v>
      </c>
      <c r="C6254">
        <v>473.79675720880743</v>
      </c>
    </row>
    <row r="6255" spans="1:3" x14ac:dyDescent="0.35">
      <c r="A6255" t="s">
        <v>129</v>
      </c>
      <c r="B6255">
        <v>2018</v>
      </c>
      <c r="C6255">
        <v>529.49612265854614</v>
      </c>
    </row>
    <row r="6256" spans="1:3" x14ac:dyDescent="0.35">
      <c r="A6256" t="s">
        <v>129</v>
      </c>
      <c r="B6256">
        <v>2019</v>
      </c>
      <c r="C6256">
        <v>572.88401253918494</v>
      </c>
    </row>
    <row r="6257" spans="1:3" x14ac:dyDescent="0.35">
      <c r="A6257" t="s">
        <v>129</v>
      </c>
      <c r="B6257">
        <v>2020</v>
      </c>
      <c r="C6257">
        <v>574.48991223070789</v>
      </c>
    </row>
    <row r="6258" spans="1:3" x14ac:dyDescent="0.35">
      <c r="A6258" t="s">
        <v>129</v>
      </c>
      <c r="B6258">
        <v>2021</v>
      </c>
      <c r="C6258">
        <v>762.7719962157048</v>
      </c>
    </row>
    <row r="6259" spans="1:3" x14ac:dyDescent="0.35">
      <c r="A6259" t="s">
        <v>129</v>
      </c>
      <c r="B6259">
        <v>2022</v>
      </c>
      <c r="C6259">
        <v>775.15629338561348</v>
      </c>
    </row>
    <row r="6260" spans="1:3" x14ac:dyDescent="0.35">
      <c r="A6260" t="s">
        <v>129</v>
      </c>
      <c r="B6260">
        <v>2023</v>
      </c>
      <c r="C6260">
        <v>909.67627624772581</v>
      </c>
    </row>
    <row r="6261" spans="1:3" x14ac:dyDescent="0.35">
      <c r="A6261" t="s">
        <v>129</v>
      </c>
      <c r="B6261">
        <v>2024</v>
      </c>
      <c r="C6261">
        <v>980.62560883212461</v>
      </c>
    </row>
    <row r="6262" spans="1:3" x14ac:dyDescent="0.35">
      <c r="A6262" t="s">
        <v>129</v>
      </c>
      <c r="B6262">
        <v>2025</v>
      </c>
      <c r="C6262">
        <v>1221.65820642978</v>
      </c>
    </row>
    <row r="6263" spans="1:3" x14ac:dyDescent="0.35">
      <c r="A6263" t="s">
        <v>130</v>
      </c>
      <c r="B6263">
        <v>1958</v>
      </c>
      <c r="C6263">
        <v>0</v>
      </c>
    </row>
    <row r="6264" spans="1:3" x14ac:dyDescent="0.35">
      <c r="A6264" t="s">
        <v>130</v>
      </c>
      <c r="B6264">
        <v>1959</v>
      </c>
      <c r="C6264">
        <v>0</v>
      </c>
    </row>
    <row r="6265" spans="1:3" x14ac:dyDescent="0.35">
      <c r="A6265" t="s">
        <v>130</v>
      </c>
      <c r="B6265">
        <v>1960</v>
      </c>
      <c r="C6265">
        <v>0</v>
      </c>
    </row>
    <row r="6266" spans="1:3" x14ac:dyDescent="0.35">
      <c r="A6266" t="s">
        <v>130</v>
      </c>
      <c r="B6266">
        <v>1961</v>
      </c>
      <c r="C6266">
        <v>0</v>
      </c>
    </row>
    <row r="6267" spans="1:3" x14ac:dyDescent="0.35">
      <c r="A6267" t="s">
        <v>130</v>
      </c>
      <c r="B6267">
        <v>1962</v>
      </c>
      <c r="C6267">
        <v>0</v>
      </c>
    </row>
    <row r="6268" spans="1:3" x14ac:dyDescent="0.35">
      <c r="A6268" t="s">
        <v>130</v>
      </c>
      <c r="B6268">
        <v>1963</v>
      </c>
      <c r="C6268">
        <v>0</v>
      </c>
    </row>
    <row r="6269" spans="1:3" x14ac:dyDescent="0.35">
      <c r="A6269" t="s">
        <v>130</v>
      </c>
      <c r="B6269">
        <v>1964</v>
      </c>
      <c r="C6269">
        <v>0</v>
      </c>
    </row>
    <row r="6270" spans="1:3" x14ac:dyDescent="0.35">
      <c r="A6270" t="s">
        <v>130</v>
      </c>
      <c r="B6270">
        <v>1965</v>
      </c>
      <c r="C6270">
        <v>0</v>
      </c>
    </row>
    <row r="6271" spans="1:3" x14ac:dyDescent="0.35">
      <c r="A6271" t="s">
        <v>130</v>
      </c>
      <c r="B6271">
        <v>1966</v>
      </c>
      <c r="C6271">
        <v>0</v>
      </c>
    </row>
    <row r="6272" spans="1:3" x14ac:dyDescent="0.35">
      <c r="A6272" t="s">
        <v>130</v>
      </c>
      <c r="B6272">
        <v>1967</v>
      </c>
      <c r="C6272">
        <v>0</v>
      </c>
    </row>
    <row r="6273" spans="1:3" x14ac:dyDescent="0.35">
      <c r="A6273" t="s">
        <v>130</v>
      </c>
      <c r="B6273">
        <v>1968</v>
      </c>
      <c r="C6273">
        <v>0</v>
      </c>
    </row>
    <row r="6274" spans="1:3" x14ac:dyDescent="0.35">
      <c r="A6274" t="s">
        <v>130</v>
      </c>
      <c r="B6274">
        <v>1969</v>
      </c>
      <c r="C6274">
        <v>0</v>
      </c>
    </row>
    <row r="6275" spans="1:3" x14ac:dyDescent="0.35">
      <c r="A6275" t="s">
        <v>130</v>
      </c>
      <c r="B6275">
        <v>1970</v>
      </c>
      <c r="C6275">
        <v>0</v>
      </c>
    </row>
    <row r="6276" spans="1:3" x14ac:dyDescent="0.35">
      <c r="A6276" t="s">
        <v>130</v>
      </c>
      <c r="B6276">
        <v>1971</v>
      </c>
      <c r="C6276">
        <v>0</v>
      </c>
    </row>
    <row r="6277" spans="1:3" x14ac:dyDescent="0.35">
      <c r="A6277" t="s">
        <v>130</v>
      </c>
      <c r="B6277">
        <v>1972</v>
      </c>
      <c r="C6277">
        <v>0</v>
      </c>
    </row>
    <row r="6278" spans="1:3" x14ac:dyDescent="0.35">
      <c r="A6278" t="s">
        <v>130</v>
      </c>
      <c r="B6278">
        <v>1973</v>
      </c>
      <c r="C6278">
        <v>0</v>
      </c>
    </row>
    <row r="6279" spans="1:3" x14ac:dyDescent="0.35">
      <c r="A6279" t="s">
        <v>130</v>
      </c>
      <c r="B6279">
        <v>1974</v>
      </c>
      <c r="C6279">
        <v>0</v>
      </c>
    </row>
    <row r="6280" spans="1:3" x14ac:dyDescent="0.35">
      <c r="A6280" t="s">
        <v>130</v>
      </c>
      <c r="B6280">
        <v>1975</v>
      </c>
      <c r="C6280">
        <v>0</v>
      </c>
    </row>
    <row r="6281" spans="1:3" x14ac:dyDescent="0.35">
      <c r="A6281" t="s">
        <v>130</v>
      </c>
      <c r="B6281">
        <v>1976</v>
      </c>
      <c r="C6281">
        <v>0</v>
      </c>
    </row>
    <row r="6282" spans="1:3" x14ac:dyDescent="0.35">
      <c r="A6282" t="s">
        <v>130</v>
      </c>
      <c r="B6282">
        <v>1977</v>
      </c>
      <c r="C6282">
        <v>0</v>
      </c>
    </row>
    <row r="6283" spans="1:3" x14ac:dyDescent="0.35">
      <c r="A6283" t="s">
        <v>130</v>
      </c>
      <c r="B6283">
        <v>1978</v>
      </c>
      <c r="C6283">
        <v>0</v>
      </c>
    </row>
    <row r="6284" spans="1:3" x14ac:dyDescent="0.35">
      <c r="A6284" t="s">
        <v>130</v>
      </c>
      <c r="B6284">
        <v>1979</v>
      </c>
      <c r="C6284">
        <v>0</v>
      </c>
    </row>
    <row r="6285" spans="1:3" x14ac:dyDescent="0.35">
      <c r="A6285" t="s">
        <v>130</v>
      </c>
      <c r="B6285">
        <v>1980</v>
      </c>
      <c r="C6285">
        <v>0</v>
      </c>
    </row>
    <row r="6286" spans="1:3" x14ac:dyDescent="0.35">
      <c r="A6286" t="s">
        <v>130</v>
      </c>
      <c r="B6286">
        <v>1981</v>
      </c>
      <c r="C6286">
        <v>0</v>
      </c>
    </row>
    <row r="6287" spans="1:3" x14ac:dyDescent="0.35">
      <c r="A6287" t="s">
        <v>130</v>
      </c>
      <c r="B6287">
        <v>1982</v>
      </c>
      <c r="C6287">
        <v>0</v>
      </c>
    </row>
    <row r="6288" spans="1:3" x14ac:dyDescent="0.35">
      <c r="A6288" t="s">
        <v>130</v>
      </c>
      <c r="B6288">
        <v>1983</v>
      </c>
      <c r="C6288">
        <v>0</v>
      </c>
    </row>
    <row r="6289" spans="1:3" x14ac:dyDescent="0.35">
      <c r="A6289" t="s">
        <v>130</v>
      </c>
      <c r="B6289">
        <v>1984</v>
      </c>
      <c r="C6289">
        <v>0</v>
      </c>
    </row>
    <row r="6290" spans="1:3" x14ac:dyDescent="0.35">
      <c r="A6290" t="s">
        <v>130</v>
      </c>
      <c r="B6290">
        <v>1985</v>
      </c>
      <c r="C6290">
        <v>0</v>
      </c>
    </row>
    <row r="6291" spans="1:3" x14ac:dyDescent="0.35">
      <c r="A6291" t="s">
        <v>130</v>
      </c>
      <c r="B6291">
        <v>1986</v>
      </c>
      <c r="C6291">
        <v>0</v>
      </c>
    </row>
    <row r="6292" spans="1:3" x14ac:dyDescent="0.35">
      <c r="A6292" t="s">
        <v>130</v>
      </c>
      <c r="B6292">
        <v>1987</v>
      </c>
      <c r="C6292">
        <v>0</v>
      </c>
    </row>
    <row r="6293" spans="1:3" x14ac:dyDescent="0.35">
      <c r="A6293" t="s">
        <v>130</v>
      </c>
      <c r="B6293">
        <v>1988</v>
      </c>
      <c r="C6293">
        <v>0</v>
      </c>
    </row>
    <row r="6294" spans="1:3" x14ac:dyDescent="0.35">
      <c r="A6294" t="s">
        <v>130</v>
      </c>
      <c r="B6294">
        <v>1989</v>
      </c>
      <c r="C6294">
        <v>0</v>
      </c>
    </row>
    <row r="6295" spans="1:3" x14ac:dyDescent="0.35">
      <c r="A6295" t="s">
        <v>130</v>
      </c>
      <c r="B6295">
        <v>1990</v>
      </c>
      <c r="C6295">
        <v>0</v>
      </c>
    </row>
    <row r="6296" spans="1:3" x14ac:dyDescent="0.35">
      <c r="A6296" t="s">
        <v>131</v>
      </c>
      <c r="B6296">
        <v>1993</v>
      </c>
      <c r="C6296">
        <v>9.8297638660076867</v>
      </c>
    </row>
    <row r="6297" spans="1:3" x14ac:dyDescent="0.35">
      <c r="A6297" t="s">
        <v>131</v>
      </c>
      <c r="B6297">
        <v>1995</v>
      </c>
      <c r="C6297">
        <v>52.228583817022574</v>
      </c>
    </row>
    <row r="6298" spans="1:3" x14ac:dyDescent="0.35">
      <c r="A6298" t="s">
        <v>131</v>
      </c>
      <c r="B6298">
        <v>1996</v>
      </c>
      <c r="C6298">
        <v>52.410268548283867</v>
      </c>
    </row>
    <row r="6299" spans="1:3" x14ac:dyDescent="0.35">
      <c r="A6299" t="s">
        <v>131</v>
      </c>
      <c r="B6299">
        <v>1997</v>
      </c>
      <c r="C6299">
        <v>64.062121190513537</v>
      </c>
    </row>
    <row r="6300" spans="1:3" x14ac:dyDescent="0.35">
      <c r="A6300" t="s">
        <v>131</v>
      </c>
      <c r="B6300">
        <v>1998</v>
      </c>
      <c r="C6300">
        <v>66.757573056851143</v>
      </c>
    </row>
    <row r="6301" spans="1:3" x14ac:dyDescent="0.35">
      <c r="A6301" t="s">
        <v>131</v>
      </c>
      <c r="B6301">
        <v>1999</v>
      </c>
      <c r="C6301">
        <v>68.234148565960581</v>
      </c>
    </row>
    <row r="6302" spans="1:3" x14ac:dyDescent="0.35">
      <c r="A6302" t="s">
        <v>131</v>
      </c>
      <c r="B6302">
        <v>2000</v>
      </c>
      <c r="C6302">
        <v>68.052142065442638</v>
      </c>
    </row>
    <row r="6303" spans="1:3" x14ac:dyDescent="0.35">
      <c r="A6303" t="s">
        <v>131</v>
      </c>
      <c r="B6303">
        <v>2001</v>
      </c>
      <c r="C6303">
        <v>66.247626459704762</v>
      </c>
    </row>
    <row r="6304" spans="1:3" x14ac:dyDescent="0.35">
      <c r="A6304" t="s">
        <v>131</v>
      </c>
      <c r="B6304">
        <v>2002</v>
      </c>
      <c r="C6304">
        <v>64.106405652364259</v>
      </c>
    </row>
    <row r="6305" spans="1:3" x14ac:dyDescent="0.35">
      <c r="A6305" t="s">
        <v>131</v>
      </c>
      <c r="B6305">
        <v>2003</v>
      </c>
      <c r="C6305">
        <v>76.587998887282012</v>
      </c>
    </row>
    <row r="6306" spans="1:3" x14ac:dyDescent="0.35">
      <c r="A6306" t="s">
        <v>131</v>
      </c>
      <c r="B6306">
        <v>2004</v>
      </c>
      <c r="C6306">
        <v>98.070488198541199</v>
      </c>
    </row>
    <row r="6307" spans="1:3" x14ac:dyDescent="0.35">
      <c r="A6307" t="s">
        <v>131</v>
      </c>
      <c r="B6307">
        <v>2005</v>
      </c>
      <c r="C6307">
        <v>140.73810267715712</v>
      </c>
    </row>
    <row r="6308" spans="1:3" x14ac:dyDescent="0.35">
      <c r="A6308" t="s">
        <v>131</v>
      </c>
      <c r="B6308">
        <v>2006</v>
      </c>
      <c r="C6308">
        <v>188.18911643111238</v>
      </c>
    </row>
    <row r="6309" spans="1:3" x14ac:dyDescent="0.35">
      <c r="A6309" t="s">
        <v>131</v>
      </c>
      <c r="B6309">
        <v>2007</v>
      </c>
      <c r="C6309">
        <v>280.10868834392051</v>
      </c>
    </row>
    <row r="6310" spans="1:3" x14ac:dyDescent="0.35">
      <c r="A6310" t="s">
        <v>131</v>
      </c>
      <c r="B6310">
        <v>2008</v>
      </c>
      <c r="C6310">
        <v>395.99436544225068</v>
      </c>
    </row>
    <row r="6311" spans="1:3" x14ac:dyDescent="0.35">
      <c r="A6311" t="s">
        <v>131</v>
      </c>
      <c r="B6311">
        <v>2009</v>
      </c>
      <c r="C6311">
        <v>359.49934348703351</v>
      </c>
    </row>
    <row r="6312" spans="1:3" x14ac:dyDescent="0.35">
      <c r="A6312" t="s">
        <v>131</v>
      </c>
      <c r="B6312">
        <v>2010</v>
      </c>
      <c r="C6312">
        <v>395.01150778782852</v>
      </c>
    </row>
    <row r="6313" spans="1:3" x14ac:dyDescent="0.35">
      <c r="A6313" t="s">
        <v>131</v>
      </c>
      <c r="B6313">
        <v>2011</v>
      </c>
      <c r="C6313">
        <v>390.87143390219086</v>
      </c>
    </row>
    <row r="6314" spans="1:3" x14ac:dyDescent="0.35">
      <c r="A6314" t="s">
        <v>131</v>
      </c>
      <c r="B6314">
        <v>2012</v>
      </c>
      <c r="C6314">
        <v>380.57167889606836</v>
      </c>
    </row>
    <row r="6315" spans="1:3" x14ac:dyDescent="0.35">
      <c r="A6315" t="s">
        <v>131</v>
      </c>
      <c r="B6315">
        <v>2013</v>
      </c>
      <c r="C6315">
        <v>444.55185950110592</v>
      </c>
    </row>
    <row r="6316" spans="1:3" x14ac:dyDescent="0.35">
      <c r="A6316" t="s">
        <v>131</v>
      </c>
      <c r="B6316">
        <v>2014</v>
      </c>
      <c r="C6316">
        <v>457.80702179135301</v>
      </c>
    </row>
    <row r="6317" spans="1:3" x14ac:dyDescent="0.35">
      <c r="A6317" t="s">
        <v>131</v>
      </c>
      <c r="B6317">
        <v>2015</v>
      </c>
      <c r="C6317">
        <v>447.37980750681885</v>
      </c>
    </row>
    <row r="6318" spans="1:3" x14ac:dyDescent="0.35">
      <c r="A6318" t="s">
        <v>131</v>
      </c>
      <c r="B6318">
        <v>2016</v>
      </c>
      <c r="C6318">
        <v>431.39621860165812</v>
      </c>
    </row>
    <row r="6319" spans="1:3" x14ac:dyDescent="0.35">
      <c r="A6319" t="s">
        <v>131</v>
      </c>
      <c r="B6319">
        <v>2017</v>
      </c>
      <c r="C6319">
        <v>443.61041334099468</v>
      </c>
    </row>
    <row r="6320" spans="1:3" x14ac:dyDescent="0.35">
      <c r="A6320" t="s">
        <v>131</v>
      </c>
      <c r="B6320">
        <v>2018</v>
      </c>
      <c r="C6320">
        <v>513.2520264823678</v>
      </c>
    </row>
    <row r="6321" spans="1:3" x14ac:dyDescent="0.35">
      <c r="A6321" t="s">
        <v>131</v>
      </c>
      <c r="B6321">
        <v>2019</v>
      </c>
      <c r="C6321">
        <v>652.00017482408316</v>
      </c>
    </row>
    <row r="6322" spans="1:3" x14ac:dyDescent="0.35">
      <c r="A6322" t="s">
        <v>131</v>
      </c>
      <c r="B6322">
        <v>2020</v>
      </c>
      <c r="C6322">
        <v>633.96040011525952</v>
      </c>
    </row>
    <row r="6323" spans="1:3" x14ac:dyDescent="0.35">
      <c r="A6323" t="s">
        <v>131</v>
      </c>
      <c r="B6323">
        <v>2021</v>
      </c>
      <c r="C6323">
        <v>619.43547171009288</v>
      </c>
    </row>
    <row r="6324" spans="1:3" x14ac:dyDescent="0.35">
      <c r="A6324" t="s">
        <v>131</v>
      </c>
      <c r="B6324">
        <v>2022</v>
      </c>
      <c r="C6324">
        <v>795.20158004970676</v>
      </c>
    </row>
    <row r="6325" spans="1:3" x14ac:dyDescent="0.35">
      <c r="A6325" t="s">
        <v>131</v>
      </c>
      <c r="B6325">
        <v>2023</v>
      </c>
      <c r="C6325">
        <v>1326.2456793866893</v>
      </c>
    </row>
    <row r="6326" spans="1:3" x14ac:dyDescent="0.35">
      <c r="A6326" t="s">
        <v>131</v>
      </c>
      <c r="B6326">
        <v>2024</v>
      </c>
      <c r="C6326">
        <v>1418.2644564968298</v>
      </c>
    </row>
    <row r="6327" spans="1:3" x14ac:dyDescent="0.35">
      <c r="A6327" t="s">
        <v>131</v>
      </c>
      <c r="B6327">
        <v>2025</v>
      </c>
      <c r="C6327">
        <v>1725.2130426808633</v>
      </c>
    </row>
    <row r="6328" spans="1:3" x14ac:dyDescent="0.35">
      <c r="A6328" t="s">
        <v>132</v>
      </c>
      <c r="B6328">
        <v>1992</v>
      </c>
      <c r="C6328">
        <v>11.07011070110701</v>
      </c>
    </row>
    <row r="6329" spans="1:3" x14ac:dyDescent="0.35">
      <c r="A6329" t="s">
        <v>132</v>
      </c>
      <c r="B6329">
        <v>1993</v>
      </c>
      <c r="C6329">
        <v>77.519379844961236</v>
      </c>
    </row>
    <row r="6330" spans="1:3" x14ac:dyDescent="0.35">
      <c r="A6330" t="s">
        <v>132</v>
      </c>
      <c r="B6330">
        <v>1994</v>
      </c>
      <c r="C6330">
        <v>43.942747058542565</v>
      </c>
    </row>
    <row r="6331" spans="1:3" x14ac:dyDescent="0.35">
      <c r="A6331" t="s">
        <v>132</v>
      </c>
      <c r="B6331">
        <v>1995</v>
      </c>
      <c r="C6331">
        <v>66.15996891387762</v>
      </c>
    </row>
    <row r="6332" spans="1:3" x14ac:dyDescent="0.35">
      <c r="A6332" t="s">
        <v>132</v>
      </c>
      <c r="B6332">
        <v>1996</v>
      </c>
      <c r="C6332">
        <v>71.606841243215655</v>
      </c>
    </row>
    <row r="6333" spans="1:3" x14ac:dyDescent="0.35">
      <c r="A6333" t="s">
        <v>132</v>
      </c>
      <c r="B6333">
        <v>1997</v>
      </c>
      <c r="C6333">
        <v>92.086691967506198</v>
      </c>
    </row>
    <row r="6334" spans="1:3" x14ac:dyDescent="0.35">
      <c r="A6334" t="s">
        <v>132</v>
      </c>
      <c r="B6334">
        <v>1998</v>
      </c>
      <c r="C6334">
        <v>107.26285861979839</v>
      </c>
    </row>
    <row r="6335" spans="1:3" x14ac:dyDescent="0.35">
      <c r="A6335" t="s">
        <v>132</v>
      </c>
      <c r="B6335">
        <v>1999</v>
      </c>
      <c r="C6335">
        <v>120.26217396633386</v>
      </c>
    </row>
    <row r="6336" spans="1:3" x14ac:dyDescent="0.35">
      <c r="A6336" t="s">
        <v>132</v>
      </c>
      <c r="B6336">
        <v>2000</v>
      </c>
      <c r="C6336">
        <v>119.57565171524007</v>
      </c>
    </row>
    <row r="6337" spans="1:3" x14ac:dyDescent="0.35">
      <c r="A6337" t="s">
        <v>132</v>
      </c>
      <c r="B6337">
        <v>2001</v>
      </c>
      <c r="C6337">
        <v>131.96366006418867</v>
      </c>
    </row>
    <row r="6338" spans="1:3" x14ac:dyDescent="0.35">
      <c r="A6338" t="s">
        <v>132</v>
      </c>
      <c r="B6338">
        <v>2002</v>
      </c>
      <c r="C6338">
        <v>139.89409194333467</v>
      </c>
    </row>
    <row r="6339" spans="1:3" x14ac:dyDescent="0.35">
      <c r="A6339" t="s">
        <v>132</v>
      </c>
      <c r="B6339">
        <v>2003</v>
      </c>
      <c r="C6339">
        <v>176.55216230580788</v>
      </c>
    </row>
    <row r="6340" spans="1:3" x14ac:dyDescent="0.35">
      <c r="A6340" t="s">
        <v>132</v>
      </c>
      <c r="B6340">
        <v>2004</v>
      </c>
      <c r="C6340">
        <v>228.24963162565027</v>
      </c>
    </row>
    <row r="6341" spans="1:3" x14ac:dyDescent="0.35">
      <c r="A6341" t="s">
        <v>132</v>
      </c>
      <c r="B6341">
        <v>2005</v>
      </c>
      <c r="C6341">
        <v>304.52147773320036</v>
      </c>
    </row>
    <row r="6342" spans="1:3" x14ac:dyDescent="0.35">
      <c r="A6342" t="s">
        <v>132</v>
      </c>
      <c r="B6342">
        <v>2006</v>
      </c>
      <c r="C6342">
        <v>717.11185355561895</v>
      </c>
    </row>
    <row r="6343" spans="1:3" x14ac:dyDescent="0.35">
      <c r="A6343" t="s">
        <v>132</v>
      </c>
      <c r="B6343">
        <v>2007</v>
      </c>
      <c r="C6343">
        <v>946.59979210463746</v>
      </c>
    </row>
    <row r="6344" spans="1:3" x14ac:dyDescent="0.35">
      <c r="A6344" t="s">
        <v>132</v>
      </c>
      <c r="B6344">
        <v>2008</v>
      </c>
      <c r="C6344">
        <v>1607.7992259195248</v>
      </c>
    </row>
    <row r="6345" spans="1:3" x14ac:dyDescent="0.35">
      <c r="A6345" t="s">
        <v>132</v>
      </c>
      <c r="B6345">
        <v>2009</v>
      </c>
      <c r="C6345">
        <v>1472.9099769465142</v>
      </c>
    </row>
    <row r="6346" spans="1:3" x14ac:dyDescent="0.35">
      <c r="A6346" t="s">
        <v>132</v>
      </c>
      <c r="B6346">
        <v>2010</v>
      </c>
      <c r="C6346">
        <v>1476.6087335700493</v>
      </c>
    </row>
    <row r="6347" spans="1:3" x14ac:dyDescent="0.35">
      <c r="A6347" t="s">
        <v>132</v>
      </c>
      <c r="B6347">
        <v>2011</v>
      </c>
      <c r="C6347">
        <v>3080.0849958084609</v>
      </c>
    </row>
    <row r="6348" spans="1:3" x14ac:dyDescent="0.35">
      <c r="A6348" t="s">
        <v>132</v>
      </c>
      <c r="B6348">
        <v>2012</v>
      </c>
      <c r="C6348">
        <v>3246.1226126303864</v>
      </c>
    </row>
    <row r="6349" spans="1:3" x14ac:dyDescent="0.35">
      <c r="A6349" t="s">
        <v>132</v>
      </c>
      <c r="B6349">
        <v>2013</v>
      </c>
      <c r="C6349">
        <v>3367.5741611974386</v>
      </c>
    </row>
    <row r="6350" spans="1:3" x14ac:dyDescent="0.35">
      <c r="A6350" t="s">
        <v>132</v>
      </c>
      <c r="B6350">
        <v>2014</v>
      </c>
      <c r="C6350">
        <v>3427.1799170648219</v>
      </c>
    </row>
    <row r="6351" spans="1:3" x14ac:dyDescent="0.35">
      <c r="A6351" t="s">
        <v>132</v>
      </c>
      <c r="B6351">
        <v>2015</v>
      </c>
      <c r="C6351">
        <v>2900.5513821521513</v>
      </c>
    </row>
    <row r="6352" spans="1:3" x14ac:dyDescent="0.35">
      <c r="A6352" t="s">
        <v>132</v>
      </c>
      <c r="B6352">
        <v>2016</v>
      </c>
      <c r="C6352">
        <v>1396.9691076583222</v>
      </c>
    </row>
    <row r="6353" spans="1:3" x14ac:dyDescent="0.35">
      <c r="A6353" t="s">
        <v>132</v>
      </c>
      <c r="B6353">
        <v>2017</v>
      </c>
      <c r="C6353">
        <v>1528.8595922938523</v>
      </c>
    </row>
    <row r="6354" spans="1:3" x14ac:dyDescent="0.35">
      <c r="A6354" t="s">
        <v>132</v>
      </c>
      <c r="B6354">
        <v>2018</v>
      </c>
      <c r="C6354">
        <v>1672.1764705882354</v>
      </c>
    </row>
    <row r="6355" spans="1:3" x14ac:dyDescent="0.35">
      <c r="A6355" t="s">
        <v>132</v>
      </c>
      <c r="B6355">
        <v>2019</v>
      </c>
      <c r="C6355">
        <v>1854.2352941176471</v>
      </c>
    </row>
    <row r="6356" spans="1:3" x14ac:dyDescent="0.35">
      <c r="A6356" t="s">
        <v>132</v>
      </c>
      <c r="B6356">
        <v>2020</v>
      </c>
      <c r="C6356">
        <v>2237.7647058823527</v>
      </c>
    </row>
    <row r="6357" spans="1:3" x14ac:dyDescent="0.35">
      <c r="A6357" t="s">
        <v>132</v>
      </c>
      <c r="B6357">
        <v>2021</v>
      </c>
      <c r="C6357">
        <v>2703.1764705882356</v>
      </c>
    </row>
    <row r="6358" spans="1:3" x14ac:dyDescent="0.35">
      <c r="A6358" t="s">
        <v>132</v>
      </c>
      <c r="B6358">
        <v>2022</v>
      </c>
      <c r="C6358">
        <v>2991.035294117647</v>
      </c>
    </row>
    <row r="6359" spans="1:3" x14ac:dyDescent="0.35">
      <c r="A6359" t="s">
        <v>132</v>
      </c>
      <c r="B6359">
        <v>2023</v>
      </c>
      <c r="C6359">
        <v>3561.6705882352944</v>
      </c>
    </row>
    <row r="6360" spans="1:3" x14ac:dyDescent="0.35">
      <c r="A6360" t="s">
        <v>132</v>
      </c>
      <c r="B6360">
        <v>2024</v>
      </c>
      <c r="C6360">
        <v>3777.088235294118</v>
      </c>
    </row>
    <row r="6361" spans="1:3" x14ac:dyDescent="0.35">
      <c r="A6361" t="s">
        <v>132</v>
      </c>
      <c r="B6361">
        <v>2025</v>
      </c>
      <c r="C6361">
        <v>4939</v>
      </c>
    </row>
    <row r="6362" spans="1:3" x14ac:dyDescent="0.35">
      <c r="A6362" t="s">
        <v>133</v>
      </c>
      <c r="B6362">
        <v>1994</v>
      </c>
      <c r="C6362">
        <v>176.97887664827712</v>
      </c>
    </row>
    <row r="6363" spans="1:3" x14ac:dyDescent="0.35">
      <c r="A6363" t="s">
        <v>133</v>
      </c>
      <c r="B6363">
        <v>1995</v>
      </c>
      <c r="C6363">
        <v>179.08219507043782</v>
      </c>
    </row>
    <row r="6364" spans="1:3" x14ac:dyDescent="0.35">
      <c r="A6364" t="s">
        <v>133</v>
      </c>
      <c r="B6364">
        <v>1996</v>
      </c>
      <c r="C6364">
        <v>182.80593696640747</v>
      </c>
    </row>
    <row r="6365" spans="1:3" x14ac:dyDescent="0.35">
      <c r="A6365" t="s">
        <v>133</v>
      </c>
      <c r="B6365">
        <v>1997</v>
      </c>
      <c r="C6365">
        <v>249.38366421577823</v>
      </c>
    </row>
    <row r="6366" spans="1:3" x14ac:dyDescent="0.35">
      <c r="A6366" t="s">
        <v>133</v>
      </c>
      <c r="B6366">
        <v>1998</v>
      </c>
      <c r="C6366">
        <v>227.58598861159533</v>
      </c>
    </row>
    <row r="6367" spans="1:3" x14ac:dyDescent="0.35">
      <c r="A6367" t="s">
        <v>133</v>
      </c>
      <c r="B6367">
        <v>1999</v>
      </c>
      <c r="C6367">
        <v>165.90362979624666</v>
      </c>
    </row>
    <row r="6368" spans="1:3" x14ac:dyDescent="0.35">
      <c r="A6368" t="s">
        <v>133</v>
      </c>
      <c r="B6368">
        <v>2000</v>
      </c>
      <c r="C6368">
        <v>140.32620473339037</v>
      </c>
    </row>
    <row r="6369" spans="1:3" x14ac:dyDescent="0.35">
      <c r="A6369" t="s">
        <v>133</v>
      </c>
      <c r="B6369">
        <v>2001</v>
      </c>
      <c r="C6369">
        <v>177.69784172661869</v>
      </c>
    </row>
    <row r="6370" spans="1:3" x14ac:dyDescent="0.35">
      <c r="A6370" t="s">
        <v>133</v>
      </c>
      <c r="B6370">
        <v>2002</v>
      </c>
      <c r="C6370">
        <v>204.3646177469646</v>
      </c>
    </row>
    <row r="6371" spans="1:3" x14ac:dyDescent="0.35">
      <c r="A6371" t="s">
        <v>133</v>
      </c>
      <c r="B6371">
        <v>2003</v>
      </c>
      <c r="C6371">
        <v>231.56376636434769</v>
      </c>
    </row>
    <row r="6372" spans="1:3" x14ac:dyDescent="0.35">
      <c r="A6372" t="s">
        <v>133</v>
      </c>
      <c r="B6372">
        <v>2004</v>
      </c>
      <c r="C6372">
        <v>314.31438150313102</v>
      </c>
    </row>
    <row r="6373" spans="1:3" x14ac:dyDescent="0.35">
      <c r="A6373" t="s">
        <v>133</v>
      </c>
      <c r="B6373">
        <v>2005</v>
      </c>
      <c r="C6373">
        <v>452.68406830654379</v>
      </c>
    </row>
    <row r="6374" spans="1:3" x14ac:dyDescent="0.35">
      <c r="A6374" t="s">
        <v>133</v>
      </c>
      <c r="B6374">
        <v>2006</v>
      </c>
      <c r="C6374">
        <v>631.83001052661632</v>
      </c>
    </row>
    <row r="6375" spans="1:3" x14ac:dyDescent="0.35">
      <c r="A6375" t="s">
        <v>133</v>
      </c>
      <c r="B6375">
        <v>2007</v>
      </c>
      <c r="C6375">
        <v>746.94384408149244</v>
      </c>
    </row>
    <row r="6376" spans="1:3" x14ac:dyDescent="0.35">
      <c r="A6376" t="s">
        <v>133</v>
      </c>
      <c r="B6376">
        <v>2008</v>
      </c>
      <c r="C6376">
        <v>883.02855624948074</v>
      </c>
    </row>
    <row r="6377" spans="1:3" x14ac:dyDescent="0.35">
      <c r="A6377" t="s">
        <v>133</v>
      </c>
      <c r="B6377">
        <v>2009</v>
      </c>
      <c r="C6377">
        <v>675.42669420939774</v>
      </c>
    </row>
    <row r="6378" spans="1:3" x14ac:dyDescent="0.35">
      <c r="A6378" t="s">
        <v>133</v>
      </c>
      <c r="B6378">
        <v>2010</v>
      </c>
      <c r="C6378">
        <v>767.69928588455309</v>
      </c>
    </row>
    <row r="6379" spans="1:3" x14ac:dyDescent="0.35">
      <c r="A6379" t="s">
        <v>133</v>
      </c>
      <c r="B6379">
        <v>2011</v>
      </c>
      <c r="C6379">
        <v>756.27684452455503</v>
      </c>
    </row>
    <row r="6380" spans="1:3" x14ac:dyDescent="0.35">
      <c r="A6380" t="s">
        <v>133</v>
      </c>
      <c r="B6380">
        <v>2012</v>
      </c>
      <c r="C6380">
        <v>807.42342425910238</v>
      </c>
    </row>
    <row r="6381" spans="1:3" x14ac:dyDescent="0.35">
      <c r="A6381" t="s">
        <v>133</v>
      </c>
      <c r="B6381">
        <v>2013</v>
      </c>
      <c r="C6381">
        <v>959.80142009295548</v>
      </c>
    </row>
    <row r="6382" spans="1:3" x14ac:dyDescent="0.35">
      <c r="A6382" t="s">
        <v>133</v>
      </c>
      <c r="B6382">
        <v>2014</v>
      </c>
      <c r="C6382">
        <v>821.49019926198901</v>
      </c>
    </row>
    <row r="6383" spans="1:3" x14ac:dyDescent="0.35">
      <c r="A6383" t="s">
        <v>133</v>
      </c>
      <c r="B6383">
        <v>2015</v>
      </c>
      <c r="C6383">
        <v>642.49262186030865</v>
      </c>
    </row>
    <row r="6384" spans="1:3" x14ac:dyDescent="0.35">
      <c r="A6384" t="s">
        <v>133</v>
      </c>
      <c r="B6384">
        <v>2016</v>
      </c>
      <c r="C6384">
        <v>726.96372075708211</v>
      </c>
    </row>
    <row r="6385" spans="1:3" x14ac:dyDescent="0.35">
      <c r="A6385" t="s">
        <v>133</v>
      </c>
      <c r="B6385">
        <v>2017</v>
      </c>
      <c r="C6385">
        <v>750.83512663823512</v>
      </c>
    </row>
    <row r="6386" spans="1:3" x14ac:dyDescent="0.35">
      <c r="A6386" t="s">
        <v>133</v>
      </c>
      <c r="B6386">
        <v>2018</v>
      </c>
      <c r="C6386">
        <v>923.27360917415581</v>
      </c>
    </row>
    <row r="6387" spans="1:3" x14ac:dyDescent="0.35">
      <c r="A6387" t="s">
        <v>133</v>
      </c>
      <c r="B6387">
        <v>2019</v>
      </c>
      <c r="C6387">
        <v>899.43827834304193</v>
      </c>
    </row>
    <row r="6388" spans="1:3" x14ac:dyDescent="0.35">
      <c r="A6388" t="s">
        <v>133</v>
      </c>
      <c r="B6388">
        <v>2020</v>
      </c>
      <c r="C6388">
        <v>861.20328335878185</v>
      </c>
    </row>
    <row r="6389" spans="1:3" x14ac:dyDescent="0.35">
      <c r="A6389" t="s">
        <v>133</v>
      </c>
      <c r="B6389">
        <v>2021</v>
      </c>
      <c r="C6389">
        <v>951.24819049307212</v>
      </c>
    </row>
    <row r="6390" spans="1:3" x14ac:dyDescent="0.35">
      <c r="A6390" t="s">
        <v>133</v>
      </c>
      <c r="B6390">
        <v>2022</v>
      </c>
      <c r="C6390">
        <v>1201.4660523209322</v>
      </c>
    </row>
    <row r="6391" spans="1:3" x14ac:dyDescent="0.35">
      <c r="A6391" t="s">
        <v>133</v>
      </c>
      <c r="B6391">
        <v>2023</v>
      </c>
      <c r="C6391">
        <v>1397.4429314845297</v>
      </c>
    </row>
    <row r="6392" spans="1:3" x14ac:dyDescent="0.35">
      <c r="A6392" t="s">
        <v>133</v>
      </c>
      <c r="B6392">
        <v>2024</v>
      </c>
      <c r="C6392">
        <v>1503.7220537912403</v>
      </c>
    </row>
    <row r="6393" spans="1:3" x14ac:dyDescent="0.35">
      <c r="A6393" t="s">
        <v>133</v>
      </c>
      <c r="B6393">
        <v>2025</v>
      </c>
      <c r="C6393">
        <v>1938.5895004900749</v>
      </c>
    </row>
    <row r="6394" spans="1:3" x14ac:dyDescent="0.35">
      <c r="A6394" t="s">
        <v>134</v>
      </c>
      <c r="B6394">
        <v>1996</v>
      </c>
      <c r="C6394">
        <v>67.7066835603421</v>
      </c>
    </row>
    <row r="6395" spans="1:3" x14ac:dyDescent="0.35">
      <c r="A6395" t="s">
        <v>134</v>
      </c>
      <c r="B6395">
        <v>1997</v>
      </c>
      <c r="C6395">
        <v>44.007707129094406</v>
      </c>
    </row>
    <row r="6396" spans="1:3" x14ac:dyDescent="0.35">
      <c r="A6396" t="s">
        <v>134</v>
      </c>
      <c r="B6396">
        <v>1998</v>
      </c>
      <c r="C6396">
        <v>41.084456980040578</v>
      </c>
    </row>
    <row r="6397" spans="1:3" x14ac:dyDescent="0.35">
      <c r="A6397" t="s">
        <v>134</v>
      </c>
      <c r="B6397">
        <v>1999</v>
      </c>
      <c r="C6397">
        <v>25.882678363266358</v>
      </c>
    </row>
    <row r="6398" spans="1:3" x14ac:dyDescent="0.35">
      <c r="A6398" t="s">
        <v>134</v>
      </c>
      <c r="B6398">
        <v>2000</v>
      </c>
      <c r="C6398">
        <v>18.824291432417251</v>
      </c>
    </row>
    <row r="6399" spans="1:3" x14ac:dyDescent="0.35">
      <c r="A6399" t="s">
        <v>134</v>
      </c>
      <c r="B6399">
        <v>2001</v>
      </c>
      <c r="C6399">
        <v>23.829967872958292</v>
      </c>
    </row>
    <row r="6400" spans="1:3" x14ac:dyDescent="0.35">
      <c r="A6400" t="s">
        <v>134</v>
      </c>
      <c r="B6400">
        <v>2002</v>
      </c>
      <c r="C6400">
        <v>33.975807039277129</v>
      </c>
    </row>
    <row r="6401" spans="1:3" x14ac:dyDescent="0.35">
      <c r="A6401" t="s">
        <v>134</v>
      </c>
      <c r="B6401">
        <v>2003</v>
      </c>
      <c r="C6401">
        <v>42.647402884906668</v>
      </c>
    </row>
    <row r="6402" spans="1:3" x14ac:dyDescent="0.35">
      <c r="A6402" t="s">
        <v>134</v>
      </c>
      <c r="B6402">
        <v>2004</v>
      </c>
      <c r="C6402">
        <v>70.419742780372005</v>
      </c>
    </row>
    <row r="6403" spans="1:3" x14ac:dyDescent="0.35">
      <c r="A6403" t="s">
        <v>134</v>
      </c>
      <c r="B6403">
        <v>2005</v>
      </c>
      <c r="C6403">
        <v>214.0714301476267</v>
      </c>
    </row>
    <row r="6404" spans="1:3" x14ac:dyDescent="0.35">
      <c r="A6404" t="s">
        <v>134</v>
      </c>
      <c r="B6404">
        <v>2006</v>
      </c>
      <c r="C6404">
        <v>404.1720258589217</v>
      </c>
    </row>
    <row r="6405" spans="1:3" x14ac:dyDescent="0.35">
      <c r="A6405" t="s">
        <v>134</v>
      </c>
      <c r="B6405">
        <v>2007</v>
      </c>
      <c r="C6405">
        <v>931.75056420571207</v>
      </c>
    </row>
    <row r="6406" spans="1:3" x14ac:dyDescent="0.35">
      <c r="A6406" t="s">
        <v>134</v>
      </c>
      <c r="B6406">
        <v>2008</v>
      </c>
      <c r="C6406">
        <v>1090.1602506053837</v>
      </c>
    </row>
    <row r="6407" spans="1:3" x14ac:dyDescent="0.35">
      <c r="A6407" t="s">
        <v>134</v>
      </c>
      <c r="B6407">
        <v>2009</v>
      </c>
      <c r="C6407">
        <v>603.65521493693473</v>
      </c>
    </row>
    <row r="6408" spans="1:3" x14ac:dyDescent="0.35">
      <c r="A6408" t="s">
        <v>134</v>
      </c>
      <c r="B6408">
        <v>2010</v>
      </c>
      <c r="C6408">
        <v>454.17821515535752</v>
      </c>
    </row>
    <row r="6409" spans="1:3" x14ac:dyDescent="0.35">
      <c r="A6409" t="s">
        <v>134</v>
      </c>
      <c r="B6409">
        <v>2011</v>
      </c>
      <c r="C6409">
        <v>468.77962683625287</v>
      </c>
    </row>
    <row r="6410" spans="1:3" x14ac:dyDescent="0.35">
      <c r="A6410" t="s">
        <v>134</v>
      </c>
      <c r="B6410">
        <v>2012</v>
      </c>
      <c r="C6410">
        <v>491.9825293585331</v>
      </c>
    </row>
    <row r="6411" spans="1:3" x14ac:dyDescent="0.35">
      <c r="A6411" t="s">
        <v>134</v>
      </c>
      <c r="B6411">
        <v>2013</v>
      </c>
      <c r="C6411">
        <v>441.87892697677154</v>
      </c>
    </row>
    <row r="6412" spans="1:3" x14ac:dyDescent="0.35">
      <c r="A6412" t="s">
        <v>134</v>
      </c>
      <c r="B6412">
        <v>2014</v>
      </c>
      <c r="C6412">
        <v>415.64321085748213</v>
      </c>
    </row>
    <row r="6413" spans="1:3" x14ac:dyDescent="0.35">
      <c r="A6413" t="s">
        <v>134</v>
      </c>
      <c r="B6413">
        <v>2015</v>
      </c>
      <c r="C6413">
        <v>299.51417628460484</v>
      </c>
    </row>
    <row r="6414" spans="1:3" x14ac:dyDescent="0.35">
      <c r="A6414" t="s">
        <v>134</v>
      </c>
      <c r="B6414">
        <v>2016</v>
      </c>
      <c r="C6414">
        <v>315.19444632233643</v>
      </c>
    </row>
    <row r="6415" spans="1:3" x14ac:dyDescent="0.35">
      <c r="A6415" t="s">
        <v>134</v>
      </c>
      <c r="B6415">
        <v>2017</v>
      </c>
      <c r="C6415">
        <v>321.13664460766495</v>
      </c>
    </row>
    <row r="6416" spans="1:3" x14ac:dyDescent="0.35">
      <c r="A6416" t="s">
        <v>134</v>
      </c>
      <c r="B6416">
        <v>2018</v>
      </c>
      <c r="C6416">
        <v>333.91238184090452</v>
      </c>
    </row>
    <row r="6417" spans="1:3" x14ac:dyDescent="0.35">
      <c r="A6417" t="s">
        <v>134</v>
      </c>
      <c r="B6417">
        <v>2019</v>
      </c>
      <c r="C6417">
        <v>310.61412850550226</v>
      </c>
    </row>
    <row r="6418" spans="1:3" x14ac:dyDescent="0.35">
      <c r="A6418" t="s">
        <v>134</v>
      </c>
      <c r="B6418">
        <v>2020</v>
      </c>
      <c r="C6418">
        <v>287.86407766990294</v>
      </c>
    </row>
    <row r="6419" spans="1:3" x14ac:dyDescent="0.35">
      <c r="A6419" t="s">
        <v>134</v>
      </c>
      <c r="B6419">
        <v>2021</v>
      </c>
      <c r="C6419">
        <v>300.48943443132384</v>
      </c>
    </row>
    <row r="6420" spans="1:3" x14ac:dyDescent="0.35">
      <c r="A6420" t="s">
        <v>134</v>
      </c>
      <c r="B6420">
        <v>2022</v>
      </c>
      <c r="C6420">
        <v>401.38172618468428</v>
      </c>
    </row>
    <row r="6421" spans="1:3" x14ac:dyDescent="0.35">
      <c r="A6421" t="s">
        <v>134</v>
      </c>
      <c r="B6421">
        <v>2023</v>
      </c>
      <c r="C6421">
        <v>506.47682770211418</v>
      </c>
    </row>
    <row r="6422" spans="1:3" x14ac:dyDescent="0.35">
      <c r="A6422" t="s">
        <v>134</v>
      </c>
      <c r="B6422">
        <v>2024</v>
      </c>
      <c r="C6422">
        <v>538.08462542193388</v>
      </c>
    </row>
    <row r="6423" spans="1:3" x14ac:dyDescent="0.35">
      <c r="A6423" t="s">
        <v>134</v>
      </c>
      <c r="B6423">
        <v>2025</v>
      </c>
      <c r="C6423">
        <v>657.87872701710819</v>
      </c>
    </row>
    <row r="6424" spans="1:3" x14ac:dyDescent="0.35">
      <c r="A6424" t="s">
        <v>135</v>
      </c>
      <c r="B6424">
        <v>1995</v>
      </c>
      <c r="C6424">
        <v>13.345789403443213</v>
      </c>
    </row>
    <row r="6425" spans="1:3" x14ac:dyDescent="0.35">
      <c r="A6425" t="s">
        <v>135</v>
      </c>
      <c r="B6425">
        <v>1996</v>
      </c>
      <c r="C6425">
        <v>15.354611161303776</v>
      </c>
    </row>
    <row r="6426" spans="1:3" x14ac:dyDescent="0.35">
      <c r="A6426" t="s">
        <v>135</v>
      </c>
      <c r="B6426">
        <v>1997</v>
      </c>
      <c r="C6426">
        <v>17.410750976516034</v>
      </c>
    </row>
    <row r="6427" spans="1:3" x14ac:dyDescent="0.35">
      <c r="A6427" t="s">
        <v>135</v>
      </c>
      <c r="B6427">
        <v>1998</v>
      </c>
      <c r="C6427">
        <v>10.613141676131603</v>
      </c>
    </row>
    <row r="6428" spans="1:3" x14ac:dyDescent="0.35">
      <c r="A6428" t="s">
        <v>135</v>
      </c>
      <c r="B6428">
        <v>1999</v>
      </c>
      <c r="C6428">
        <v>5.9909849940090147</v>
      </c>
    </row>
    <row r="6429" spans="1:3" x14ac:dyDescent="0.35">
      <c r="A6429" t="s">
        <v>135</v>
      </c>
      <c r="B6429">
        <v>2000</v>
      </c>
      <c r="C6429">
        <v>5.0907979604638811</v>
      </c>
    </row>
    <row r="6430" spans="1:3" x14ac:dyDescent="0.35">
      <c r="A6430" t="s">
        <v>135</v>
      </c>
      <c r="B6430">
        <v>2001</v>
      </c>
      <c r="C6430">
        <v>5.9618658230406298</v>
      </c>
    </row>
    <row r="6431" spans="1:3" x14ac:dyDescent="0.35">
      <c r="A6431" t="s">
        <v>135</v>
      </c>
      <c r="B6431">
        <v>2002</v>
      </c>
      <c r="C6431">
        <v>6.9783722044139864</v>
      </c>
    </row>
    <row r="6432" spans="1:3" x14ac:dyDescent="0.35">
      <c r="A6432" t="s">
        <v>135</v>
      </c>
      <c r="B6432">
        <v>2003</v>
      </c>
      <c r="C6432">
        <v>8.2467425366980045</v>
      </c>
    </row>
    <row r="6433" spans="1:3" x14ac:dyDescent="0.35">
      <c r="A6433" t="s">
        <v>135</v>
      </c>
      <c r="B6433">
        <v>2004</v>
      </c>
      <c r="C6433">
        <v>9.3780059531051041</v>
      </c>
    </row>
    <row r="6434" spans="1:3" x14ac:dyDescent="0.35">
      <c r="A6434" t="s">
        <v>135</v>
      </c>
      <c r="B6434">
        <v>2005</v>
      </c>
      <c r="C6434">
        <v>11.960379694593477</v>
      </c>
    </row>
    <row r="6435" spans="1:3" x14ac:dyDescent="0.35">
      <c r="A6435" t="s">
        <v>135</v>
      </c>
      <c r="B6435">
        <v>2006</v>
      </c>
      <c r="C6435">
        <v>16.449497757232827</v>
      </c>
    </row>
    <row r="6436" spans="1:3" x14ac:dyDescent="0.35">
      <c r="A6436" t="s">
        <v>135</v>
      </c>
      <c r="B6436">
        <v>2007</v>
      </c>
      <c r="C6436">
        <v>22.718473793029595</v>
      </c>
    </row>
    <row r="6437" spans="1:3" x14ac:dyDescent="0.35">
      <c r="A6437" t="s">
        <v>135</v>
      </c>
      <c r="B6437">
        <v>2008</v>
      </c>
      <c r="C6437">
        <v>36.845650500384913</v>
      </c>
    </row>
    <row r="6438" spans="1:3" x14ac:dyDescent="0.35">
      <c r="A6438" t="s">
        <v>135</v>
      </c>
      <c r="B6438">
        <v>2009</v>
      </c>
      <c r="C6438">
        <v>24.906387268668539</v>
      </c>
    </row>
    <row r="6439" spans="1:3" x14ac:dyDescent="0.35">
      <c r="A6439" t="s">
        <v>135</v>
      </c>
      <c r="B6439">
        <v>2010</v>
      </c>
      <c r="C6439">
        <v>18.33571827023356</v>
      </c>
    </row>
    <row r="6440" spans="1:3" x14ac:dyDescent="0.35">
      <c r="A6440" t="s">
        <v>135</v>
      </c>
      <c r="B6440">
        <v>2011</v>
      </c>
      <c r="C6440">
        <v>22.966963692433509</v>
      </c>
    </row>
    <row r="6441" spans="1:3" x14ac:dyDescent="0.35">
      <c r="A6441" t="s">
        <v>135</v>
      </c>
      <c r="B6441">
        <v>2012</v>
      </c>
      <c r="C6441">
        <v>23.870072823950988</v>
      </c>
    </row>
    <row r="6442" spans="1:3" x14ac:dyDescent="0.35">
      <c r="A6442" t="s">
        <v>135</v>
      </c>
      <c r="B6442">
        <v>2013</v>
      </c>
      <c r="C6442">
        <v>26.710522134299424</v>
      </c>
    </row>
    <row r="6443" spans="1:3" x14ac:dyDescent="0.35">
      <c r="A6443" t="s">
        <v>135</v>
      </c>
      <c r="B6443">
        <v>2014</v>
      </c>
      <c r="C6443">
        <v>27.565559837630307</v>
      </c>
    </row>
    <row r="6444" spans="1:3" x14ac:dyDescent="0.35">
      <c r="A6444" t="s">
        <v>135</v>
      </c>
      <c r="B6444">
        <v>2015</v>
      </c>
      <c r="C6444">
        <v>23.051814594477925</v>
      </c>
    </row>
    <row r="6445" spans="1:3" x14ac:dyDescent="0.35">
      <c r="A6445" t="s">
        <v>135</v>
      </c>
      <c r="B6445">
        <v>2016</v>
      </c>
      <c r="C6445">
        <v>27.469621399804936</v>
      </c>
    </row>
    <row r="6446" spans="1:3" x14ac:dyDescent="0.35">
      <c r="A6446" t="s">
        <v>135</v>
      </c>
      <c r="B6446">
        <v>2017</v>
      </c>
      <c r="C6446">
        <v>30.877286489713814</v>
      </c>
    </row>
    <row r="6447" spans="1:3" x14ac:dyDescent="0.35">
      <c r="A6447" t="s">
        <v>135</v>
      </c>
      <c r="B6447">
        <v>2018</v>
      </c>
      <c r="C6447">
        <v>37.394242702171375</v>
      </c>
    </row>
    <row r="6448" spans="1:3" x14ac:dyDescent="0.35">
      <c r="A6448" t="s">
        <v>135</v>
      </c>
      <c r="B6448">
        <v>2019</v>
      </c>
      <c r="C6448">
        <v>40.020556291034431</v>
      </c>
    </row>
    <row r="6449" spans="1:3" x14ac:dyDescent="0.35">
      <c r="A6449" t="s">
        <v>135</v>
      </c>
      <c r="B6449">
        <v>2020</v>
      </c>
      <c r="C6449">
        <v>43.245995066554613</v>
      </c>
    </row>
    <row r="6450" spans="1:3" x14ac:dyDescent="0.35">
      <c r="A6450" t="s">
        <v>135</v>
      </c>
      <c r="B6450">
        <v>2021</v>
      </c>
      <c r="C6450">
        <v>50.739612451586311</v>
      </c>
    </row>
    <row r="6451" spans="1:3" x14ac:dyDescent="0.35">
      <c r="A6451" t="s">
        <v>135</v>
      </c>
      <c r="B6451">
        <v>2022</v>
      </c>
      <c r="C6451">
        <v>54.36258092699525</v>
      </c>
    </row>
    <row r="6452" spans="1:3" x14ac:dyDescent="0.35">
      <c r="A6452" t="s">
        <v>135</v>
      </c>
      <c r="B6452">
        <v>2023</v>
      </c>
      <c r="C6452">
        <v>92.204676221718273</v>
      </c>
    </row>
    <row r="6453" spans="1:3" x14ac:dyDescent="0.35">
      <c r="A6453" t="s">
        <v>135</v>
      </c>
      <c r="B6453">
        <v>2024</v>
      </c>
      <c r="C6453">
        <v>109.20133096754056</v>
      </c>
    </row>
    <row r="6454" spans="1:3" x14ac:dyDescent="0.35">
      <c r="A6454" t="s">
        <v>135</v>
      </c>
      <c r="B6454">
        <v>2025</v>
      </c>
      <c r="C6454">
        <v>113.28733434316091</v>
      </c>
    </row>
    <row r="6455" spans="1:3" x14ac:dyDescent="0.35">
      <c r="A6455" t="s">
        <v>136</v>
      </c>
      <c r="B6455">
        <v>1993</v>
      </c>
      <c r="C6455">
        <v>7766.7200784134193</v>
      </c>
    </row>
    <row r="6456" spans="1:3" x14ac:dyDescent="0.35">
      <c r="A6456" t="s">
        <v>136</v>
      </c>
      <c r="B6456">
        <v>1994</v>
      </c>
      <c r="C6456">
        <v>13547.871733424627</v>
      </c>
    </row>
    <row r="6457" spans="1:3" x14ac:dyDescent="0.35">
      <c r="A6457" t="s">
        <v>136</v>
      </c>
      <c r="B6457">
        <v>1995</v>
      </c>
      <c r="C6457">
        <v>12741.629470405669</v>
      </c>
    </row>
    <row r="6458" spans="1:3" x14ac:dyDescent="0.35">
      <c r="A6458" t="s">
        <v>136</v>
      </c>
      <c r="B6458">
        <v>1996</v>
      </c>
      <c r="C6458">
        <v>15826.340651808399</v>
      </c>
    </row>
    <row r="6459" spans="1:3" x14ac:dyDescent="0.35">
      <c r="A6459" t="s">
        <v>136</v>
      </c>
      <c r="B6459">
        <v>1997</v>
      </c>
      <c r="C6459">
        <v>17577.353180646624</v>
      </c>
    </row>
    <row r="6460" spans="1:3" x14ac:dyDescent="0.35">
      <c r="A6460" t="s">
        <v>136</v>
      </c>
      <c r="B6460">
        <v>1998</v>
      </c>
      <c r="C6460">
        <v>7955.7304009858753</v>
      </c>
    </row>
    <row r="6461" spans="1:3" x14ac:dyDescent="0.35">
      <c r="A6461" t="s">
        <v>136</v>
      </c>
      <c r="B6461">
        <v>1999</v>
      </c>
      <c r="C6461">
        <v>6469.0352113534173</v>
      </c>
    </row>
    <row r="6462" spans="1:3" x14ac:dyDescent="0.35">
      <c r="A6462" t="s">
        <v>136</v>
      </c>
      <c r="B6462">
        <v>2000</v>
      </c>
      <c r="C6462">
        <v>9228.204143736757</v>
      </c>
    </row>
    <row r="6463" spans="1:3" x14ac:dyDescent="0.35">
      <c r="A6463" t="s">
        <v>136</v>
      </c>
      <c r="B6463">
        <v>2001</v>
      </c>
      <c r="C6463">
        <v>11683.151344772614</v>
      </c>
    </row>
    <row r="6464" spans="1:3" x14ac:dyDescent="0.35">
      <c r="A6464" t="s">
        <v>136</v>
      </c>
      <c r="B6464">
        <v>2002</v>
      </c>
      <c r="C6464">
        <v>13943.825063400162</v>
      </c>
    </row>
    <row r="6465" spans="1:3" x14ac:dyDescent="0.35">
      <c r="A6465" t="s">
        <v>136</v>
      </c>
      <c r="B6465">
        <v>2003</v>
      </c>
      <c r="C6465">
        <v>16973.739085103611</v>
      </c>
    </row>
    <row r="6466" spans="1:3" x14ac:dyDescent="0.35">
      <c r="A6466" t="s">
        <v>136</v>
      </c>
      <c r="B6466">
        <v>2004</v>
      </c>
      <c r="C6466">
        <v>20955.413570627861</v>
      </c>
    </row>
    <row r="6467" spans="1:3" x14ac:dyDescent="0.35">
      <c r="A6467" t="s">
        <v>136</v>
      </c>
      <c r="B6467">
        <v>2005</v>
      </c>
      <c r="C6467">
        <v>27336.9772736915</v>
      </c>
    </row>
    <row r="6468" spans="1:3" x14ac:dyDescent="0.35">
      <c r="A6468" t="s">
        <v>136</v>
      </c>
      <c r="B6468">
        <v>2006</v>
      </c>
      <c r="C6468">
        <v>34517.781618918023</v>
      </c>
    </row>
    <row r="6469" spans="1:3" x14ac:dyDescent="0.35">
      <c r="A6469" t="s">
        <v>136</v>
      </c>
      <c r="B6469">
        <v>2007</v>
      </c>
      <c r="C6469">
        <v>43534.994996247187</v>
      </c>
    </row>
    <row r="6470" spans="1:3" x14ac:dyDescent="0.35">
      <c r="A6470" t="s">
        <v>136</v>
      </c>
      <c r="B6470">
        <v>2008</v>
      </c>
      <c r="C6470">
        <v>56183.7853932539</v>
      </c>
    </row>
    <row r="6471" spans="1:3" x14ac:dyDescent="0.35">
      <c r="A6471" t="s">
        <v>136</v>
      </c>
      <c r="B6471">
        <v>2009</v>
      </c>
      <c r="C6471">
        <v>51532.116797519877</v>
      </c>
    </row>
    <row r="6472" spans="1:3" x14ac:dyDescent="0.35">
      <c r="A6472" t="s">
        <v>136</v>
      </c>
      <c r="B6472">
        <v>2010</v>
      </c>
      <c r="C6472">
        <v>58720.227608757938</v>
      </c>
    </row>
    <row r="6473" spans="1:3" x14ac:dyDescent="0.35">
      <c r="A6473" t="s">
        <v>136</v>
      </c>
      <c r="B6473">
        <v>2011</v>
      </c>
      <c r="C6473">
        <v>70237.523951494601</v>
      </c>
    </row>
    <row r="6474" spans="1:3" x14ac:dyDescent="0.35">
      <c r="A6474" t="s">
        <v>136</v>
      </c>
      <c r="B6474">
        <v>2012</v>
      </c>
      <c r="C6474">
        <v>81469.399931257663</v>
      </c>
    </row>
    <row r="6475" spans="1:3" x14ac:dyDescent="0.35">
      <c r="A6475" t="s">
        <v>136</v>
      </c>
      <c r="B6475">
        <v>2013</v>
      </c>
      <c r="C6475">
        <v>88352.896463559809</v>
      </c>
    </row>
    <row r="6476" spans="1:3" x14ac:dyDescent="0.35">
      <c r="A6476" t="s">
        <v>136</v>
      </c>
      <c r="B6476">
        <v>2014</v>
      </c>
      <c r="C6476">
        <v>84696.504653497803</v>
      </c>
    </row>
    <row r="6477" spans="1:3" x14ac:dyDescent="0.35">
      <c r="A6477" t="s">
        <v>136</v>
      </c>
      <c r="B6477">
        <v>2015</v>
      </c>
      <c r="C6477">
        <v>66421.822179920564</v>
      </c>
    </row>
    <row r="6478" spans="1:3" x14ac:dyDescent="0.35">
      <c r="A6478" t="s">
        <v>136</v>
      </c>
      <c r="B6478">
        <v>2016</v>
      </c>
      <c r="C6478">
        <v>69267.531881344868</v>
      </c>
    </row>
    <row r="6479" spans="1:3" x14ac:dyDescent="0.35">
      <c r="A6479" t="s">
        <v>136</v>
      </c>
      <c r="B6479">
        <v>2017</v>
      </c>
      <c r="C6479">
        <v>66887.635161950646</v>
      </c>
    </row>
    <row r="6480" spans="1:3" x14ac:dyDescent="0.35">
      <c r="A6480" t="s">
        <v>136</v>
      </c>
      <c r="B6480">
        <v>2018</v>
      </c>
      <c r="C6480">
        <v>61649.658199488986</v>
      </c>
    </row>
    <row r="6481" spans="1:3" x14ac:dyDescent="0.35">
      <c r="A6481" t="s">
        <v>136</v>
      </c>
      <c r="B6481">
        <v>2019</v>
      </c>
      <c r="C6481">
        <v>65141.250217705616</v>
      </c>
    </row>
    <row r="6482" spans="1:3" x14ac:dyDescent="0.35">
      <c r="A6482" t="s">
        <v>136</v>
      </c>
      <c r="B6482">
        <v>2020</v>
      </c>
      <c r="C6482">
        <v>61883.78992692248</v>
      </c>
    </row>
    <row r="6483" spans="1:3" x14ac:dyDescent="0.35">
      <c r="A6483" t="s">
        <v>136</v>
      </c>
      <c r="B6483">
        <v>2021</v>
      </c>
      <c r="C6483">
        <v>65918.129750652879</v>
      </c>
    </row>
    <row r="6484" spans="1:3" x14ac:dyDescent="0.35">
      <c r="A6484" t="s">
        <v>136</v>
      </c>
      <c r="B6484">
        <v>2022</v>
      </c>
      <c r="C6484">
        <v>104402.51281516519</v>
      </c>
    </row>
    <row r="6485" spans="1:3" x14ac:dyDescent="0.35">
      <c r="A6485" t="s">
        <v>136</v>
      </c>
      <c r="B6485">
        <v>2023</v>
      </c>
      <c r="C6485">
        <v>109203.62473837858</v>
      </c>
    </row>
    <row r="6486" spans="1:3" x14ac:dyDescent="0.35">
      <c r="A6486" t="s">
        <v>136</v>
      </c>
      <c r="B6486">
        <v>2024</v>
      </c>
      <c r="C6486">
        <v>149401.87396545109</v>
      </c>
    </row>
    <row r="6487" spans="1:3" x14ac:dyDescent="0.35">
      <c r="A6487" t="s">
        <v>136</v>
      </c>
      <c r="B6487">
        <v>2025</v>
      </c>
      <c r="C6487">
        <v>190416.64032521061</v>
      </c>
    </row>
    <row r="6488" spans="1:3" x14ac:dyDescent="0.35">
      <c r="A6488" t="s">
        <v>137</v>
      </c>
      <c r="B6488">
        <v>1993</v>
      </c>
      <c r="C6488">
        <v>152.2338665195808</v>
      </c>
    </row>
    <row r="6489" spans="1:3" x14ac:dyDescent="0.35">
      <c r="A6489" t="s">
        <v>137</v>
      </c>
      <c r="B6489">
        <v>1994</v>
      </c>
      <c r="C6489">
        <v>919.04468205939281</v>
      </c>
    </row>
    <row r="6490" spans="1:3" x14ac:dyDescent="0.35">
      <c r="A6490" t="s">
        <v>137</v>
      </c>
      <c r="B6490">
        <v>1995</v>
      </c>
      <c r="C6490">
        <v>1046.7934314051606</v>
      </c>
    </row>
    <row r="6491" spans="1:3" x14ac:dyDescent="0.35">
      <c r="A6491" t="s">
        <v>137</v>
      </c>
      <c r="B6491">
        <v>1996</v>
      </c>
      <c r="C6491">
        <v>1464.9051364602865</v>
      </c>
    </row>
    <row r="6492" spans="1:3" x14ac:dyDescent="0.35">
      <c r="A6492" t="s">
        <v>137</v>
      </c>
      <c r="B6492">
        <v>1997</v>
      </c>
      <c r="C6492">
        <v>2068.5839519568553</v>
      </c>
    </row>
    <row r="6493" spans="1:3" x14ac:dyDescent="0.35">
      <c r="A6493" t="s">
        <v>137</v>
      </c>
      <c r="B6493">
        <v>1998</v>
      </c>
      <c r="C6493">
        <v>1405.1617854780898</v>
      </c>
    </row>
    <row r="6494" spans="1:3" x14ac:dyDescent="0.35">
      <c r="A6494" t="s">
        <v>137</v>
      </c>
      <c r="B6494">
        <v>1999</v>
      </c>
      <c r="C6494">
        <v>941.78828405690433</v>
      </c>
    </row>
    <row r="6495" spans="1:3" x14ac:dyDescent="0.35">
      <c r="A6495" t="s">
        <v>137</v>
      </c>
      <c r="B6495">
        <v>2000</v>
      </c>
      <c r="C6495">
        <v>1136.7166461712097</v>
      </c>
    </row>
    <row r="6496" spans="1:3" x14ac:dyDescent="0.35">
      <c r="A6496" t="s">
        <v>137</v>
      </c>
      <c r="B6496">
        <v>2001</v>
      </c>
      <c r="C6496">
        <v>1088.5751727424349</v>
      </c>
    </row>
    <row r="6497" spans="1:3" x14ac:dyDescent="0.35">
      <c r="A6497" t="s">
        <v>137</v>
      </c>
      <c r="B6497">
        <v>2002</v>
      </c>
      <c r="C6497">
        <v>1176.3557377849368</v>
      </c>
    </row>
    <row r="6498" spans="1:3" x14ac:dyDescent="0.35">
      <c r="A6498" t="s">
        <v>137</v>
      </c>
      <c r="B6498">
        <v>2003</v>
      </c>
      <c r="C6498">
        <v>1427.9847506605481</v>
      </c>
    </row>
    <row r="6499" spans="1:3" x14ac:dyDescent="0.35">
      <c r="A6499" t="s">
        <v>137</v>
      </c>
      <c r="B6499">
        <v>2004</v>
      </c>
      <c r="C6499">
        <v>1685.0341594005092</v>
      </c>
    </row>
    <row r="6500" spans="1:3" x14ac:dyDescent="0.35">
      <c r="A6500" t="s">
        <v>137</v>
      </c>
      <c r="B6500">
        <v>2005</v>
      </c>
      <c r="C6500">
        <v>2405.4925820482254</v>
      </c>
    </row>
    <row r="6501" spans="1:3" x14ac:dyDescent="0.35">
      <c r="A6501" t="s">
        <v>137</v>
      </c>
      <c r="B6501">
        <v>2006</v>
      </c>
      <c r="C6501">
        <v>2986.4752475247528</v>
      </c>
    </row>
    <row r="6502" spans="1:3" x14ac:dyDescent="0.35">
      <c r="A6502" t="s">
        <v>137</v>
      </c>
      <c r="B6502">
        <v>2007</v>
      </c>
      <c r="C6502">
        <v>4096.0396039603966</v>
      </c>
    </row>
    <row r="6503" spans="1:3" x14ac:dyDescent="0.35">
      <c r="A6503" t="s">
        <v>137</v>
      </c>
      <c r="B6503">
        <v>2008</v>
      </c>
      <c r="C6503">
        <v>4811.0388402231156</v>
      </c>
    </row>
    <row r="6504" spans="1:3" x14ac:dyDescent="0.35">
      <c r="A6504" t="s">
        <v>137</v>
      </c>
      <c r="B6504">
        <v>2009</v>
      </c>
      <c r="C6504">
        <v>3452.5112947361399</v>
      </c>
    </row>
    <row r="6505" spans="1:3" x14ac:dyDescent="0.35">
      <c r="A6505" t="s">
        <v>137</v>
      </c>
      <c r="B6505">
        <v>2010</v>
      </c>
      <c r="C6505">
        <v>3729.4572334430495</v>
      </c>
    </row>
    <row r="6506" spans="1:3" x14ac:dyDescent="0.35">
      <c r="A6506" t="s">
        <v>137</v>
      </c>
      <c r="B6506">
        <v>2011</v>
      </c>
      <c r="C6506">
        <v>3684.6333130845578</v>
      </c>
    </row>
    <row r="6507" spans="1:3" x14ac:dyDescent="0.35">
      <c r="A6507" t="s">
        <v>137</v>
      </c>
      <c r="B6507">
        <v>2012</v>
      </c>
      <c r="C6507">
        <v>4136.9148093549893</v>
      </c>
    </row>
    <row r="6508" spans="1:3" x14ac:dyDescent="0.35">
      <c r="A6508" t="s">
        <v>137</v>
      </c>
      <c r="B6508">
        <v>2013</v>
      </c>
      <c r="C6508">
        <v>4386.4198924058564</v>
      </c>
    </row>
    <row r="6509" spans="1:3" x14ac:dyDescent="0.35">
      <c r="A6509" t="s">
        <v>137</v>
      </c>
      <c r="B6509">
        <v>2014</v>
      </c>
      <c r="C6509">
        <v>3961.5513786803726</v>
      </c>
    </row>
    <row r="6510" spans="1:3" x14ac:dyDescent="0.35">
      <c r="A6510" t="s">
        <v>137</v>
      </c>
      <c r="B6510">
        <v>2015</v>
      </c>
      <c r="C6510">
        <v>3502.7337442387357</v>
      </c>
    </row>
    <row r="6511" spans="1:3" x14ac:dyDescent="0.35">
      <c r="A6511" t="s">
        <v>137</v>
      </c>
      <c r="B6511">
        <v>2016</v>
      </c>
      <c r="C6511">
        <v>3424.870090948365</v>
      </c>
    </row>
    <row r="6512" spans="1:3" x14ac:dyDescent="0.35">
      <c r="A6512" t="s">
        <v>137</v>
      </c>
      <c r="B6512">
        <v>2017</v>
      </c>
      <c r="C6512">
        <v>3635.469103981135</v>
      </c>
    </row>
    <row r="6513" spans="1:3" x14ac:dyDescent="0.35">
      <c r="A6513" t="s">
        <v>137</v>
      </c>
      <c r="B6513">
        <v>2018</v>
      </c>
      <c r="C6513">
        <v>4758.1083849867136</v>
      </c>
    </row>
    <row r="6514" spans="1:3" x14ac:dyDescent="0.35">
      <c r="A6514" t="s">
        <v>137</v>
      </c>
      <c r="B6514">
        <v>2019</v>
      </c>
      <c r="C6514">
        <v>6259.8663464538595</v>
      </c>
    </row>
    <row r="6515" spans="1:3" x14ac:dyDescent="0.35">
      <c r="A6515" t="s">
        <v>137</v>
      </c>
      <c r="B6515">
        <v>2020</v>
      </c>
      <c r="C6515">
        <v>6842.4386931479839</v>
      </c>
    </row>
    <row r="6516" spans="1:3" x14ac:dyDescent="0.35">
      <c r="A6516" t="s">
        <v>137</v>
      </c>
      <c r="B6516">
        <v>2021</v>
      </c>
      <c r="C6516">
        <v>6842.9634334668081</v>
      </c>
    </row>
    <row r="6517" spans="1:3" x14ac:dyDescent="0.35">
      <c r="A6517" t="s">
        <v>137</v>
      </c>
      <c r="B6517">
        <v>2022</v>
      </c>
      <c r="C6517">
        <v>41538.018337940441</v>
      </c>
    </row>
    <row r="6518" spans="1:3" x14ac:dyDescent="0.35">
      <c r="A6518" t="s">
        <v>137</v>
      </c>
      <c r="B6518">
        <v>2023</v>
      </c>
      <c r="C6518">
        <v>65296.673144755921</v>
      </c>
    </row>
    <row r="6519" spans="1:3" x14ac:dyDescent="0.35">
      <c r="A6519" t="s">
        <v>137</v>
      </c>
      <c r="B6519">
        <v>2024</v>
      </c>
      <c r="C6519">
        <v>64768.188591110811</v>
      </c>
    </row>
    <row r="6520" spans="1:3" x14ac:dyDescent="0.35">
      <c r="A6520" t="s">
        <v>137</v>
      </c>
      <c r="B6520">
        <v>2025</v>
      </c>
      <c r="C6520">
        <v>84109.04574185441</v>
      </c>
    </row>
    <row r="6521" spans="1:3" x14ac:dyDescent="0.35">
      <c r="A6521" t="s">
        <v>138</v>
      </c>
      <c r="B6521">
        <v>1987</v>
      </c>
      <c r="C6521">
        <v>225021.10084977018</v>
      </c>
    </row>
    <row r="6522" spans="1:3" x14ac:dyDescent="0.35">
      <c r="A6522" t="s">
        <v>138</v>
      </c>
      <c r="B6522">
        <v>1988</v>
      </c>
      <c r="C6522">
        <v>246010.99311596141</v>
      </c>
    </row>
    <row r="6523" spans="1:3" x14ac:dyDescent="0.35">
      <c r="A6523" t="s">
        <v>138</v>
      </c>
      <c r="B6523">
        <v>1989</v>
      </c>
      <c r="C6523">
        <v>218759.66379404848</v>
      </c>
    </row>
    <row r="6524" spans="1:3" x14ac:dyDescent="0.35">
      <c r="A6524" t="s">
        <v>138</v>
      </c>
      <c r="B6524">
        <v>1990</v>
      </c>
      <c r="C6524">
        <v>219114.0618313603</v>
      </c>
    </row>
    <row r="6525" spans="1:3" x14ac:dyDescent="0.35">
      <c r="A6525" t="s">
        <v>139</v>
      </c>
      <c r="B6525">
        <v>1957</v>
      </c>
      <c r="C6525">
        <v>82.561961164123659</v>
      </c>
    </row>
    <row r="6526" spans="1:3" x14ac:dyDescent="0.35">
      <c r="A6526" t="s">
        <v>139</v>
      </c>
      <c r="B6526">
        <v>1958</v>
      </c>
      <c r="C6526">
        <v>95.793044684015271</v>
      </c>
    </row>
    <row r="6527" spans="1:3" x14ac:dyDescent="0.35">
      <c r="A6527" t="s">
        <v>139</v>
      </c>
      <c r="B6527">
        <v>1959</v>
      </c>
      <c r="C6527">
        <v>95.793044684015271</v>
      </c>
    </row>
    <row r="6528" spans="1:3" x14ac:dyDescent="0.35">
      <c r="A6528" t="s">
        <v>139</v>
      </c>
      <c r="B6528">
        <v>1960</v>
      </c>
      <c r="C6528">
        <v>91.559097957649939</v>
      </c>
    </row>
    <row r="6529" spans="1:3" x14ac:dyDescent="0.35">
      <c r="A6529" t="s">
        <v>139</v>
      </c>
      <c r="B6529">
        <v>1961</v>
      </c>
      <c r="C6529">
        <v>91.029854616854294</v>
      </c>
    </row>
    <row r="6530" spans="1:3" x14ac:dyDescent="0.35">
      <c r="A6530" t="s">
        <v>139</v>
      </c>
      <c r="B6530">
        <v>1962</v>
      </c>
      <c r="C6530">
        <v>100.02699141038059</v>
      </c>
    </row>
    <row r="6531" spans="1:3" x14ac:dyDescent="0.35">
      <c r="A6531" t="s">
        <v>139</v>
      </c>
      <c r="B6531">
        <v>1963</v>
      </c>
      <c r="C6531">
        <v>125.95991510936814</v>
      </c>
    </row>
    <row r="6532" spans="1:3" x14ac:dyDescent="0.35">
      <c r="A6532" t="s">
        <v>139</v>
      </c>
      <c r="B6532">
        <v>1964</v>
      </c>
      <c r="C6532">
        <v>164.59467898745163</v>
      </c>
    </row>
    <row r="6533" spans="1:3" x14ac:dyDescent="0.35">
      <c r="A6533" t="s">
        <v>139</v>
      </c>
      <c r="B6533">
        <v>1965</v>
      </c>
      <c r="C6533">
        <v>142.8957020148294</v>
      </c>
    </row>
    <row r="6534" spans="1:3" x14ac:dyDescent="0.35">
      <c r="A6534" t="s">
        <v>139</v>
      </c>
      <c r="B6534">
        <v>1966</v>
      </c>
      <c r="C6534">
        <v>167.77013903222564</v>
      </c>
    </row>
    <row r="6535" spans="1:3" x14ac:dyDescent="0.35">
      <c r="A6535" t="s">
        <v>139</v>
      </c>
      <c r="B6535">
        <v>1967</v>
      </c>
      <c r="C6535">
        <v>176.76727582575194</v>
      </c>
    </row>
    <row r="6536" spans="1:3" x14ac:dyDescent="0.35">
      <c r="A6536" t="s">
        <v>139</v>
      </c>
      <c r="B6536">
        <v>1968</v>
      </c>
      <c r="C6536">
        <v>182.05970923370859</v>
      </c>
    </row>
    <row r="6537" spans="1:3" x14ac:dyDescent="0.35">
      <c r="A6537" t="s">
        <v>139</v>
      </c>
      <c r="B6537">
        <v>1969</v>
      </c>
      <c r="C6537">
        <v>193.17381939041752</v>
      </c>
    </row>
    <row r="6538" spans="1:3" x14ac:dyDescent="0.35">
      <c r="A6538" t="s">
        <v>139</v>
      </c>
      <c r="B6538">
        <v>1970</v>
      </c>
      <c r="C6538">
        <v>199.52473947996552</v>
      </c>
    </row>
    <row r="6539" spans="1:3" x14ac:dyDescent="0.35">
      <c r="A6539" t="s">
        <v>139</v>
      </c>
      <c r="B6539">
        <v>1971</v>
      </c>
      <c r="C6539">
        <v>209.27760674534767</v>
      </c>
    </row>
    <row r="6540" spans="1:3" x14ac:dyDescent="0.35">
      <c r="A6540" t="s">
        <v>139</v>
      </c>
      <c r="B6540">
        <v>1972</v>
      </c>
      <c r="C6540">
        <v>249.4255473670425</v>
      </c>
    </row>
    <row r="6541" spans="1:3" x14ac:dyDescent="0.35">
      <c r="A6541" t="s">
        <v>139</v>
      </c>
      <c r="B6541">
        <v>1973</v>
      </c>
      <c r="C6541">
        <v>328.89882144588984</v>
      </c>
    </row>
    <row r="6542" spans="1:3" x14ac:dyDescent="0.35">
      <c r="A6542" t="s">
        <v>139</v>
      </c>
      <c r="B6542">
        <v>1974</v>
      </c>
      <c r="C6542">
        <v>422.54350578604863</v>
      </c>
    </row>
    <row r="6543" spans="1:3" x14ac:dyDescent="0.35">
      <c r="A6543" t="s">
        <v>139</v>
      </c>
      <c r="B6543">
        <v>1975</v>
      </c>
      <c r="C6543">
        <v>546.72439402079453</v>
      </c>
    </row>
    <row r="6544" spans="1:3" x14ac:dyDescent="0.35">
      <c r="A6544" t="s">
        <v>139</v>
      </c>
      <c r="B6544">
        <v>1976</v>
      </c>
      <c r="C6544">
        <v>581.40872726714883</v>
      </c>
    </row>
    <row r="6545" spans="1:3" x14ac:dyDescent="0.35">
      <c r="A6545" t="s">
        <v>139</v>
      </c>
      <c r="B6545">
        <v>1977</v>
      </c>
      <c r="C6545">
        <v>686.89324430086754</v>
      </c>
    </row>
    <row r="6546" spans="1:3" x14ac:dyDescent="0.35">
      <c r="A6546" t="s">
        <v>139</v>
      </c>
      <c r="B6546">
        <v>1978</v>
      </c>
      <c r="C6546">
        <v>877.45065524527865</v>
      </c>
    </row>
    <row r="6547" spans="1:3" x14ac:dyDescent="0.35">
      <c r="A6547" t="s">
        <v>139</v>
      </c>
      <c r="B6547">
        <v>1979</v>
      </c>
      <c r="C6547">
        <v>1049.9725154253315</v>
      </c>
    </row>
    <row r="6548" spans="1:3" x14ac:dyDescent="0.35">
      <c r="A6548" t="s">
        <v>139</v>
      </c>
      <c r="B6548">
        <v>1980</v>
      </c>
      <c r="C6548">
        <v>1152.895906475042</v>
      </c>
    </row>
    <row r="6549" spans="1:3" x14ac:dyDescent="0.35">
      <c r="A6549" t="s">
        <v>139</v>
      </c>
      <c r="B6549">
        <v>1981</v>
      </c>
      <c r="C6549">
        <v>969.37232709836269</v>
      </c>
    </row>
    <row r="6550" spans="1:3" x14ac:dyDescent="0.35">
      <c r="A6550" t="s">
        <v>139</v>
      </c>
      <c r="B6550">
        <v>1982</v>
      </c>
      <c r="C6550">
        <v>995.3699969348412</v>
      </c>
    </row>
    <row r="6551" spans="1:3" x14ac:dyDescent="0.35">
      <c r="A6551" t="s">
        <v>139</v>
      </c>
      <c r="B6551">
        <v>1983</v>
      </c>
      <c r="C6551">
        <v>991.99509747596608</v>
      </c>
    </row>
    <row r="6552" spans="1:3" x14ac:dyDescent="0.35">
      <c r="A6552" t="s">
        <v>139</v>
      </c>
      <c r="B6552">
        <v>1984</v>
      </c>
      <c r="C6552">
        <v>949.71529172282885</v>
      </c>
    </row>
    <row r="6553" spans="1:3" x14ac:dyDescent="0.35">
      <c r="A6553" t="s">
        <v>139</v>
      </c>
      <c r="B6553">
        <v>1985</v>
      </c>
      <c r="C6553">
        <v>1036.8724892920802</v>
      </c>
    </row>
    <row r="6554" spans="1:3" x14ac:dyDescent="0.35">
      <c r="A6554" t="s">
        <v>139</v>
      </c>
      <c r="B6554">
        <v>1986</v>
      </c>
      <c r="C6554">
        <v>1475.4260889942407</v>
      </c>
    </row>
    <row r="6555" spans="1:3" x14ac:dyDescent="0.35">
      <c r="A6555" t="s">
        <v>139</v>
      </c>
      <c r="B6555">
        <v>1987</v>
      </c>
      <c r="C6555">
        <v>1737.1126053859198</v>
      </c>
    </row>
    <row r="6556" spans="1:3" x14ac:dyDescent="0.35">
      <c r="A6556" t="s">
        <v>139</v>
      </c>
      <c r="B6556">
        <v>1988</v>
      </c>
      <c r="C6556">
        <v>1713.9545768604987</v>
      </c>
    </row>
    <row r="6557" spans="1:3" x14ac:dyDescent="0.35">
      <c r="A6557" t="s">
        <v>139</v>
      </c>
      <c r="B6557">
        <v>1989</v>
      </c>
      <c r="C6557">
        <v>1623.4880552464354</v>
      </c>
    </row>
    <row r="6558" spans="1:3" x14ac:dyDescent="0.35">
      <c r="A6558" t="s">
        <v>139</v>
      </c>
      <c r="B6558">
        <v>1990</v>
      </c>
      <c r="C6558">
        <v>1972.7016815163906</v>
      </c>
    </row>
    <row r="6559" spans="1:3" x14ac:dyDescent="0.35">
      <c r="A6559" t="s">
        <v>139</v>
      </c>
      <c r="B6559">
        <v>1991</v>
      </c>
      <c r="C6559">
        <v>1994.0555459964503</v>
      </c>
    </row>
    <row r="6560" spans="1:3" x14ac:dyDescent="0.35">
      <c r="A6560" t="s">
        <v>139</v>
      </c>
      <c r="B6560">
        <v>1992</v>
      </c>
      <c r="C6560">
        <v>2139.9253217400887</v>
      </c>
    </row>
    <row r="6561" spans="1:3" x14ac:dyDescent="0.35">
      <c r="A6561" t="s">
        <v>139</v>
      </c>
      <c r="B6561">
        <v>1993</v>
      </c>
      <c r="C6561">
        <v>2115.1152666843323</v>
      </c>
    </row>
    <row r="6562" spans="1:3" x14ac:dyDescent="0.35">
      <c r="A6562" t="s">
        <v>139</v>
      </c>
      <c r="B6562">
        <v>1994</v>
      </c>
      <c r="C6562">
        <v>2227.5605501315576</v>
      </c>
    </row>
    <row r="6563" spans="1:3" x14ac:dyDescent="0.35">
      <c r="A6563" t="s">
        <v>139</v>
      </c>
      <c r="B6563">
        <v>1995</v>
      </c>
      <c r="C6563">
        <v>2557.834494186181</v>
      </c>
    </row>
    <row r="6564" spans="1:3" x14ac:dyDescent="0.35">
      <c r="A6564" t="s">
        <v>139</v>
      </c>
      <c r="B6564">
        <v>1996</v>
      </c>
      <c r="C6564">
        <v>2457.9030486576421</v>
      </c>
    </row>
    <row r="6565" spans="1:3" x14ac:dyDescent="0.35">
      <c r="A6565" t="s">
        <v>139</v>
      </c>
      <c r="B6565">
        <v>1997</v>
      </c>
      <c r="C6565">
        <v>2164.8023433985368</v>
      </c>
    </row>
    <row r="6566" spans="1:3" x14ac:dyDescent="0.35">
      <c r="A6566" t="s">
        <v>139</v>
      </c>
      <c r="B6566">
        <v>1998</v>
      </c>
      <c r="C6566">
        <v>2159.7960032102369</v>
      </c>
    </row>
    <row r="6567" spans="1:3" x14ac:dyDescent="0.35">
      <c r="A6567" t="s">
        <v>139</v>
      </c>
      <c r="B6567">
        <v>1999</v>
      </c>
      <c r="C6567">
        <v>2124.3795458685931</v>
      </c>
    </row>
    <row r="6568" spans="1:3" x14ac:dyDescent="0.35">
      <c r="A6568" t="s">
        <v>139</v>
      </c>
      <c r="B6568">
        <v>2000</v>
      </c>
      <c r="C6568">
        <v>1925.5573981942143</v>
      </c>
    </row>
    <row r="6569" spans="1:3" x14ac:dyDescent="0.35">
      <c r="A6569" t="s">
        <v>139</v>
      </c>
      <c r="B6569">
        <v>2001</v>
      </c>
      <c r="C6569">
        <v>1788.7983105296598</v>
      </c>
    </row>
    <row r="6570" spans="1:3" x14ac:dyDescent="0.35">
      <c r="A6570" t="s">
        <v>139</v>
      </c>
      <c r="B6570">
        <v>2002</v>
      </c>
      <c r="C6570">
        <v>1881.7467413298198</v>
      </c>
    </row>
    <row r="6571" spans="1:3" x14ac:dyDescent="0.35">
      <c r="A6571" t="s">
        <v>139</v>
      </c>
      <c r="B6571">
        <v>2003</v>
      </c>
      <c r="C6571">
        <v>2381.9627689230883</v>
      </c>
    </row>
    <row r="6572" spans="1:3" x14ac:dyDescent="0.35">
      <c r="A6572" t="s">
        <v>139</v>
      </c>
      <c r="B6572">
        <v>2004</v>
      </c>
      <c r="C6572">
        <v>2679.2820646539149</v>
      </c>
    </row>
    <row r="6573" spans="1:3" x14ac:dyDescent="0.35">
      <c r="A6573" t="s">
        <v>139</v>
      </c>
      <c r="B6573">
        <v>2005</v>
      </c>
      <c r="C6573">
        <v>2686.1662438442027</v>
      </c>
    </row>
    <row r="6574" spans="1:3" x14ac:dyDescent="0.35">
      <c r="A6574" t="s">
        <v>139</v>
      </c>
      <c r="B6574">
        <v>2006</v>
      </c>
      <c r="C6574">
        <v>2640.1853624390164</v>
      </c>
    </row>
    <row r="6575" spans="1:3" x14ac:dyDescent="0.35">
      <c r="A6575" t="s">
        <v>139</v>
      </c>
      <c r="B6575">
        <v>2007</v>
      </c>
      <c r="C6575">
        <v>3499.8179673107616</v>
      </c>
    </row>
    <row r="6576" spans="1:3" x14ac:dyDescent="0.35">
      <c r="A6576" t="s">
        <v>139</v>
      </c>
      <c r="B6576">
        <v>2008</v>
      </c>
      <c r="C6576">
        <v>3746.7316072801841</v>
      </c>
    </row>
    <row r="6577" spans="1:3" x14ac:dyDescent="0.35">
      <c r="A6577" t="s">
        <v>139</v>
      </c>
      <c r="B6577">
        <v>2009</v>
      </c>
      <c r="C6577">
        <v>3334.7549396187778</v>
      </c>
    </row>
    <row r="6578" spans="1:3" x14ac:dyDescent="0.35">
      <c r="A6578" t="s">
        <v>139</v>
      </c>
      <c r="B6578">
        <v>2010</v>
      </c>
      <c r="C6578">
        <v>3218.3512240992259</v>
      </c>
    </row>
    <row r="6579" spans="1:3" x14ac:dyDescent="0.35">
      <c r="A6579" t="s">
        <v>139</v>
      </c>
      <c r="B6579">
        <v>2011</v>
      </c>
      <c r="C6579">
        <v>3409.7212085826886</v>
      </c>
    </row>
    <row r="6580" spans="1:3" x14ac:dyDescent="0.35">
      <c r="A6580" t="s">
        <v>139</v>
      </c>
      <c r="B6580">
        <v>2012</v>
      </c>
      <c r="C6580">
        <v>3187.2274487532986</v>
      </c>
    </row>
    <row r="6581" spans="1:3" x14ac:dyDescent="0.35">
      <c r="A6581" t="s">
        <v>139</v>
      </c>
      <c r="B6581">
        <v>2013</v>
      </c>
      <c r="C6581">
        <v>3229.0658413429305</v>
      </c>
    </row>
    <row r="6582" spans="1:3" x14ac:dyDescent="0.35">
      <c r="A6582" t="s">
        <v>139</v>
      </c>
      <c r="B6582">
        <v>2014</v>
      </c>
      <c r="C6582">
        <v>3305.1592564824546</v>
      </c>
    </row>
    <row r="6583" spans="1:3" x14ac:dyDescent="0.35">
      <c r="A6583" t="s">
        <v>139</v>
      </c>
      <c r="B6583">
        <v>2015</v>
      </c>
      <c r="C6583">
        <v>2665.4097815237883</v>
      </c>
    </row>
    <row r="6584" spans="1:3" x14ac:dyDescent="0.35">
      <c r="A6584" t="s">
        <v>139</v>
      </c>
      <c r="B6584">
        <v>2016</v>
      </c>
      <c r="C6584">
        <v>2885.9473861035676</v>
      </c>
    </row>
    <row r="6585" spans="1:3" x14ac:dyDescent="0.35">
      <c r="A6585" t="s">
        <v>139</v>
      </c>
      <c r="B6585">
        <v>2017</v>
      </c>
      <c r="C6585">
        <v>3153.1186238149453</v>
      </c>
    </row>
    <row r="6586" spans="1:3" x14ac:dyDescent="0.35">
      <c r="A6586" t="s">
        <v>139</v>
      </c>
      <c r="B6586">
        <v>2018</v>
      </c>
      <c r="C6586">
        <v>3387.982011968415</v>
      </c>
    </row>
    <row r="6587" spans="1:3" x14ac:dyDescent="0.35">
      <c r="A6587" t="s">
        <v>139</v>
      </c>
      <c r="B6587">
        <v>2019</v>
      </c>
      <c r="C6587">
        <v>3336.5427675772503</v>
      </c>
    </row>
    <row r="6588" spans="1:3" x14ac:dyDescent="0.35">
      <c r="A6588" t="s">
        <v>139</v>
      </c>
      <c r="B6588">
        <v>2020</v>
      </c>
      <c r="C6588">
        <v>3840.0775105437137</v>
      </c>
    </row>
    <row r="6589" spans="1:3" x14ac:dyDescent="0.35">
      <c r="A6589" t="s">
        <v>139</v>
      </c>
      <c r="B6589">
        <v>2021</v>
      </c>
      <c r="C6589">
        <v>4196.4285714285716</v>
      </c>
    </row>
    <row r="6590" spans="1:3" x14ac:dyDescent="0.35">
      <c r="A6590" t="s">
        <v>139</v>
      </c>
      <c r="B6590">
        <v>2022</v>
      </c>
      <c r="C6590">
        <v>3612.7331779514843</v>
      </c>
    </row>
    <row r="6591" spans="1:3" x14ac:dyDescent="0.35">
      <c r="A6591" t="s">
        <v>139</v>
      </c>
      <c r="B6591">
        <v>2023</v>
      </c>
      <c r="C6591">
        <v>4452.2279506138693</v>
      </c>
    </row>
    <row r="6592" spans="1:3" x14ac:dyDescent="0.35">
      <c r="A6592" t="s">
        <v>139</v>
      </c>
      <c r="B6592">
        <v>2024</v>
      </c>
      <c r="C6592">
        <v>5294.3938276065746</v>
      </c>
    </row>
    <row r="6593" spans="1:3" x14ac:dyDescent="0.35">
      <c r="A6593" t="s">
        <v>139</v>
      </c>
      <c r="B6593">
        <v>2025</v>
      </c>
      <c r="C6593">
        <v>6353.3605577239805</v>
      </c>
    </row>
    <row r="6594" spans="1:3" x14ac:dyDescent="0.35">
      <c r="A6594" t="s">
        <v>140</v>
      </c>
      <c r="B6594">
        <v>1949</v>
      </c>
      <c r="C6594">
        <v>182.34033662010648</v>
      </c>
    </row>
    <row r="6595" spans="1:3" x14ac:dyDescent="0.35">
      <c r="A6595" t="s">
        <v>140</v>
      </c>
      <c r="B6595">
        <v>1950</v>
      </c>
      <c r="C6595">
        <v>165.15123399517537</v>
      </c>
    </row>
    <row r="6596" spans="1:3" x14ac:dyDescent="0.35">
      <c r="A6596" t="s">
        <v>140</v>
      </c>
      <c r="B6596">
        <v>1951</v>
      </c>
      <c r="C6596">
        <v>267.74347099970146</v>
      </c>
    </row>
    <row r="6597" spans="1:3" x14ac:dyDescent="0.35">
      <c r="A6597" t="s">
        <v>140</v>
      </c>
      <c r="B6597">
        <v>1952</v>
      </c>
      <c r="C6597">
        <v>399.29970067851582</v>
      </c>
    </row>
    <row r="6598" spans="1:3" x14ac:dyDescent="0.35">
      <c r="A6598" t="s">
        <v>140</v>
      </c>
      <c r="B6598">
        <v>1953</v>
      </c>
      <c r="C6598">
        <v>396.2992246686083</v>
      </c>
    </row>
    <row r="6599" spans="1:3" x14ac:dyDescent="0.35">
      <c r="A6599" t="s">
        <v>140</v>
      </c>
      <c r="B6599">
        <v>1954</v>
      </c>
      <c r="C6599">
        <v>414.13668745512189</v>
      </c>
    </row>
    <row r="6600" spans="1:3" x14ac:dyDescent="0.35">
      <c r="A6600" t="s">
        <v>140</v>
      </c>
      <c r="B6600">
        <v>1955</v>
      </c>
      <c r="C6600">
        <v>341.33944347180648</v>
      </c>
    </row>
    <row r="6601" spans="1:3" x14ac:dyDescent="0.35">
      <c r="A6601" t="s">
        <v>140</v>
      </c>
      <c r="B6601">
        <v>1956</v>
      </c>
      <c r="C6601">
        <v>341.29910364914036</v>
      </c>
    </row>
    <row r="6602" spans="1:3" x14ac:dyDescent="0.35">
      <c r="A6602" t="s">
        <v>140</v>
      </c>
      <c r="B6602">
        <v>1957</v>
      </c>
      <c r="C6602">
        <v>367.11659015546968</v>
      </c>
    </row>
    <row r="6603" spans="1:3" x14ac:dyDescent="0.35">
      <c r="A6603" t="s">
        <v>140</v>
      </c>
      <c r="B6603">
        <v>1958</v>
      </c>
      <c r="C6603">
        <v>366.23718202134785</v>
      </c>
    </row>
    <row r="6604" spans="1:3" x14ac:dyDescent="0.35">
      <c r="A6604" t="s">
        <v>140</v>
      </c>
      <c r="B6604">
        <v>1959</v>
      </c>
      <c r="C6604">
        <v>373.71618514365014</v>
      </c>
    </row>
    <row r="6605" spans="1:3" x14ac:dyDescent="0.35">
      <c r="A6605" t="s">
        <v>140</v>
      </c>
      <c r="B6605">
        <v>1960</v>
      </c>
      <c r="C6605">
        <v>383.22024736379257</v>
      </c>
    </row>
    <row r="6606" spans="1:3" x14ac:dyDescent="0.35">
      <c r="A6606" t="s">
        <v>140</v>
      </c>
      <c r="B6606">
        <v>1961</v>
      </c>
      <c r="C6606">
        <v>391.21882740203472</v>
      </c>
    </row>
    <row r="6607" spans="1:3" x14ac:dyDescent="0.35">
      <c r="A6607" t="s">
        <v>140</v>
      </c>
      <c r="B6607">
        <v>1962</v>
      </c>
      <c r="C6607">
        <v>422.22078791741632</v>
      </c>
    </row>
    <row r="6608" spans="1:3" x14ac:dyDescent="0.35">
      <c r="A6608" t="s">
        <v>140</v>
      </c>
      <c r="B6608">
        <v>1963</v>
      </c>
      <c r="C6608">
        <v>444.60132153259053</v>
      </c>
    </row>
    <row r="6609" spans="1:3" x14ac:dyDescent="0.35">
      <c r="A6609" t="s">
        <v>140</v>
      </c>
      <c r="B6609">
        <v>1964</v>
      </c>
      <c r="C6609">
        <v>497.05922692763841</v>
      </c>
    </row>
    <row r="6610" spans="1:3" x14ac:dyDescent="0.35">
      <c r="A6610" t="s">
        <v>140</v>
      </c>
      <c r="B6610">
        <v>1965</v>
      </c>
      <c r="C6610">
        <v>500.72208282572387</v>
      </c>
    </row>
    <row r="6611" spans="1:3" x14ac:dyDescent="0.35">
      <c r="A6611" t="s">
        <v>140</v>
      </c>
      <c r="B6611">
        <v>1966</v>
      </c>
      <c r="C6611">
        <v>563.37789539077187</v>
      </c>
    </row>
    <row r="6612" spans="1:3" x14ac:dyDescent="0.35">
      <c r="A6612" t="s">
        <v>140</v>
      </c>
      <c r="B6612">
        <v>1967</v>
      </c>
      <c r="C6612">
        <v>607.91870718936309</v>
      </c>
    </row>
    <row r="6613" spans="1:3" x14ac:dyDescent="0.35">
      <c r="A6613" t="s">
        <v>140</v>
      </c>
      <c r="B6613">
        <v>1968</v>
      </c>
      <c r="C6613">
        <v>646.38111450862061</v>
      </c>
    </row>
    <row r="6614" spans="1:3" x14ac:dyDescent="0.35">
      <c r="A6614" t="s">
        <v>140</v>
      </c>
      <c r="B6614">
        <v>1969</v>
      </c>
      <c r="C6614">
        <v>675.07886435331227</v>
      </c>
    </row>
    <row r="6615" spans="1:3" x14ac:dyDescent="0.35">
      <c r="A6615" t="s">
        <v>140</v>
      </c>
      <c r="B6615">
        <v>1970</v>
      </c>
      <c r="C6615">
        <v>747.75508886862929</v>
      </c>
    </row>
    <row r="6616" spans="1:3" x14ac:dyDescent="0.35">
      <c r="A6616" t="s">
        <v>140</v>
      </c>
      <c r="B6616">
        <v>1971</v>
      </c>
      <c r="C6616">
        <v>828.72155843728672</v>
      </c>
    </row>
    <row r="6617" spans="1:3" x14ac:dyDescent="0.35">
      <c r="A6617" t="s">
        <v>140</v>
      </c>
      <c r="B6617">
        <v>1972</v>
      </c>
      <c r="C6617">
        <v>1026.5880908082745</v>
      </c>
    </row>
    <row r="6618" spans="1:3" x14ac:dyDescent="0.35">
      <c r="A6618" t="s">
        <v>140</v>
      </c>
      <c r="B6618">
        <v>1973</v>
      </c>
      <c r="C6618">
        <v>1296.5197753678838</v>
      </c>
    </row>
    <row r="6619" spans="1:3" x14ac:dyDescent="0.35">
      <c r="A6619" t="s">
        <v>140</v>
      </c>
      <c r="B6619">
        <v>1974</v>
      </c>
      <c r="C6619">
        <v>1482.3184359277616</v>
      </c>
    </row>
    <row r="6620" spans="1:3" x14ac:dyDescent="0.35">
      <c r="A6620" t="s">
        <v>140</v>
      </c>
      <c r="B6620">
        <v>1975</v>
      </c>
      <c r="C6620">
        <v>1927.6624775425948</v>
      </c>
    </row>
    <row r="6621" spans="1:3" x14ac:dyDescent="0.35">
      <c r="A6621" t="s">
        <v>140</v>
      </c>
      <c r="B6621">
        <v>1976</v>
      </c>
      <c r="C6621">
        <v>2109.6199883594199</v>
      </c>
    </row>
    <row r="6622" spans="1:3" x14ac:dyDescent="0.35">
      <c r="A6622" t="s">
        <v>140</v>
      </c>
      <c r="B6622">
        <v>1977</v>
      </c>
      <c r="C6622">
        <v>2496.5138618307542</v>
      </c>
    </row>
    <row r="6623" spans="1:3" x14ac:dyDescent="0.35">
      <c r="A6623" t="s">
        <v>140</v>
      </c>
      <c r="B6623">
        <v>1978</v>
      </c>
      <c r="C6623">
        <v>3166.6470253680181</v>
      </c>
    </row>
    <row r="6624" spans="1:3" x14ac:dyDescent="0.35">
      <c r="A6624" t="s">
        <v>140</v>
      </c>
      <c r="B6624">
        <v>1979</v>
      </c>
      <c r="C6624">
        <v>3631.5804681125665</v>
      </c>
    </row>
    <row r="6625" spans="1:3" x14ac:dyDescent="0.35">
      <c r="A6625" t="s">
        <v>140</v>
      </c>
      <c r="B6625">
        <v>1980</v>
      </c>
      <c r="C6625">
        <v>3958.5753267428349</v>
      </c>
    </row>
    <row r="6626" spans="1:3" x14ac:dyDescent="0.35">
      <c r="A6626" t="s">
        <v>140</v>
      </c>
      <c r="B6626">
        <v>1981</v>
      </c>
      <c r="C6626">
        <v>3385.1761714887934</v>
      </c>
    </row>
    <row r="6627" spans="1:3" x14ac:dyDescent="0.35">
      <c r="A6627" t="s">
        <v>140</v>
      </c>
      <c r="B6627">
        <v>1982</v>
      </c>
      <c r="C6627">
        <v>2891.7749682158492</v>
      </c>
    </row>
    <row r="6628" spans="1:3" x14ac:dyDescent="0.35">
      <c r="A6628" t="s">
        <v>140</v>
      </c>
      <c r="B6628">
        <v>1983</v>
      </c>
      <c r="C6628">
        <v>2671.8316081797529</v>
      </c>
    </row>
    <row r="6629" spans="1:3" x14ac:dyDescent="0.35">
      <c r="A6629" t="s">
        <v>140</v>
      </c>
      <c r="B6629">
        <v>1984</v>
      </c>
      <c r="C6629">
        <v>2407.4474843447847</v>
      </c>
    </row>
    <row r="6630" spans="1:3" x14ac:dyDescent="0.35">
      <c r="A6630" t="s">
        <v>140</v>
      </c>
      <c r="B6630">
        <v>1985</v>
      </c>
      <c r="C6630">
        <v>2428.2239765207819</v>
      </c>
    </row>
    <row r="6631" spans="1:3" x14ac:dyDescent="0.35">
      <c r="A6631" t="s">
        <v>140</v>
      </c>
      <c r="B6631">
        <v>1986</v>
      </c>
      <c r="C6631">
        <v>3404.3110376651402</v>
      </c>
    </row>
    <row r="6632" spans="1:3" x14ac:dyDescent="0.35">
      <c r="A6632" t="s">
        <v>140</v>
      </c>
      <c r="B6632">
        <v>1987</v>
      </c>
      <c r="C6632">
        <v>4162.9929291357639</v>
      </c>
    </row>
    <row r="6633" spans="1:3" x14ac:dyDescent="0.35">
      <c r="A6633" t="s">
        <v>140</v>
      </c>
      <c r="B6633">
        <v>1988</v>
      </c>
      <c r="C6633">
        <v>4097.1493083098267</v>
      </c>
    </row>
    <row r="6634" spans="1:3" x14ac:dyDescent="0.35">
      <c r="A6634" t="s">
        <v>140</v>
      </c>
      <c r="B6634">
        <v>1989</v>
      </c>
      <c r="C6634">
        <v>3880.7330057330055</v>
      </c>
    </row>
    <row r="6635" spans="1:3" x14ac:dyDescent="0.35">
      <c r="A6635" t="s">
        <v>140</v>
      </c>
      <c r="B6635">
        <v>1990</v>
      </c>
      <c r="C6635">
        <v>4644.3242408037577</v>
      </c>
    </row>
    <row r="6636" spans="1:3" x14ac:dyDescent="0.35">
      <c r="A6636" t="s">
        <v>140</v>
      </c>
      <c r="B6636">
        <v>1991</v>
      </c>
      <c r="C6636">
        <v>4624.5007460015386</v>
      </c>
    </row>
    <row r="6637" spans="1:3" x14ac:dyDescent="0.35">
      <c r="A6637" t="s">
        <v>140</v>
      </c>
      <c r="B6637">
        <v>1992</v>
      </c>
      <c r="C6637">
        <v>4131.2981122132087</v>
      </c>
    </row>
    <row r="6638" spans="1:3" x14ac:dyDescent="0.35">
      <c r="A6638" t="s">
        <v>140</v>
      </c>
      <c r="B6638">
        <v>1993</v>
      </c>
      <c r="C6638">
        <v>3746.042850896371</v>
      </c>
    </row>
    <row r="6639" spans="1:3" x14ac:dyDescent="0.35">
      <c r="A6639" t="s">
        <v>140</v>
      </c>
      <c r="B6639">
        <v>1994</v>
      </c>
      <c r="C6639">
        <v>3944.1018128327091</v>
      </c>
    </row>
    <row r="6640" spans="1:3" x14ac:dyDescent="0.35">
      <c r="A6640" t="s">
        <v>140</v>
      </c>
      <c r="B6640">
        <v>1995</v>
      </c>
      <c r="C6640">
        <v>4449.0148346107171</v>
      </c>
    </row>
    <row r="6641" spans="1:3" x14ac:dyDescent="0.35">
      <c r="A6641" t="s">
        <v>140</v>
      </c>
      <c r="B6641">
        <v>1996</v>
      </c>
      <c r="C6641">
        <v>4241.8659676150073</v>
      </c>
    </row>
    <row r="6642" spans="1:3" x14ac:dyDescent="0.35">
      <c r="A6642" t="s">
        <v>140</v>
      </c>
      <c r="B6642">
        <v>1997</v>
      </c>
      <c r="C6642">
        <v>3684.0953888761087</v>
      </c>
    </row>
    <row r="6643" spans="1:3" x14ac:dyDescent="0.35">
      <c r="A6643" t="s">
        <v>140</v>
      </c>
      <c r="B6643">
        <v>1998</v>
      </c>
      <c r="C6643">
        <v>3664.2884132382037</v>
      </c>
    </row>
    <row r="6644" spans="1:3" x14ac:dyDescent="0.35">
      <c r="A6644" t="s">
        <v>140</v>
      </c>
      <c r="B6644">
        <v>1999</v>
      </c>
      <c r="C6644">
        <v>3599.7665303473295</v>
      </c>
    </row>
    <row r="6645" spans="1:3" x14ac:dyDescent="0.35">
      <c r="A6645" t="s">
        <v>140</v>
      </c>
      <c r="B6645">
        <v>2000</v>
      </c>
      <c r="C6645">
        <v>3198.7473410195853</v>
      </c>
    </row>
    <row r="6646" spans="1:3" x14ac:dyDescent="0.35">
      <c r="A6646" t="s">
        <v>140</v>
      </c>
      <c r="B6646">
        <v>2001</v>
      </c>
      <c r="C6646">
        <v>3038.6918611025289</v>
      </c>
    </row>
    <row r="6647" spans="1:3" x14ac:dyDescent="0.35">
      <c r="A6647" t="s">
        <v>140</v>
      </c>
      <c r="B6647">
        <v>2002</v>
      </c>
      <c r="C6647">
        <v>3161.9985380392518</v>
      </c>
    </row>
    <row r="6648" spans="1:3" x14ac:dyDescent="0.35">
      <c r="A6648" t="s">
        <v>140</v>
      </c>
      <c r="B6648">
        <v>2003</v>
      </c>
      <c r="C6648">
        <v>3884.4047866667947</v>
      </c>
    </row>
    <row r="6649" spans="1:3" x14ac:dyDescent="0.35">
      <c r="A6649" t="s">
        <v>140</v>
      </c>
      <c r="B6649">
        <v>2004</v>
      </c>
      <c r="C6649">
        <v>4270.3166528957008</v>
      </c>
    </row>
    <row r="6650" spans="1:3" x14ac:dyDescent="0.35">
      <c r="A6650" t="s">
        <v>140</v>
      </c>
      <c r="B6650">
        <v>2005</v>
      </c>
      <c r="C6650">
        <v>4229.9069260698998</v>
      </c>
    </row>
    <row r="6651" spans="1:3" x14ac:dyDescent="0.35">
      <c r="A6651" t="s">
        <v>140</v>
      </c>
      <c r="B6651">
        <v>2006</v>
      </c>
      <c r="C6651">
        <v>4311.7263599999606</v>
      </c>
    </row>
    <row r="6652" spans="1:3" x14ac:dyDescent="0.35">
      <c r="A6652" t="s">
        <v>140</v>
      </c>
      <c r="B6652">
        <v>2007</v>
      </c>
      <c r="C6652">
        <v>5170.8136419608363</v>
      </c>
    </row>
    <row r="6653" spans="1:3" x14ac:dyDescent="0.35">
      <c r="A6653" t="s">
        <v>140</v>
      </c>
      <c r="B6653">
        <v>2008</v>
      </c>
      <c r="C6653">
        <v>6321.3070046875073</v>
      </c>
    </row>
    <row r="6654" spans="1:3" x14ac:dyDescent="0.35">
      <c r="A6654" t="s">
        <v>140</v>
      </c>
      <c r="B6654">
        <v>2009</v>
      </c>
      <c r="C6654">
        <v>5643.2896789062543</v>
      </c>
    </row>
    <row r="6655" spans="1:3" x14ac:dyDescent="0.35">
      <c r="A6655" t="s">
        <v>140</v>
      </c>
      <c r="B6655">
        <v>2010</v>
      </c>
      <c r="C6655">
        <v>5249.8380000001353</v>
      </c>
    </row>
    <row r="6656" spans="1:3" x14ac:dyDescent="0.35">
      <c r="A6656" t="s">
        <v>140</v>
      </c>
      <c r="B6656">
        <v>2011</v>
      </c>
      <c r="C6656">
        <v>5506.5749805447958</v>
      </c>
    </row>
    <row r="6657" spans="1:3" x14ac:dyDescent="0.35">
      <c r="A6657" t="s">
        <v>140</v>
      </c>
      <c r="B6657">
        <v>2012</v>
      </c>
      <c r="C6657">
        <v>5168.704826953126</v>
      </c>
    </row>
    <row r="6658" spans="1:3" x14ac:dyDescent="0.35">
      <c r="A6658" t="s">
        <v>140</v>
      </c>
      <c r="B6658">
        <v>2013</v>
      </c>
      <c r="C6658">
        <v>5264.6599074510377</v>
      </c>
    </row>
    <row r="6659" spans="1:3" x14ac:dyDescent="0.35">
      <c r="A6659" t="s">
        <v>140</v>
      </c>
      <c r="B6659">
        <v>2014</v>
      </c>
      <c r="C6659">
        <v>5198.4235690195137</v>
      </c>
    </row>
    <row r="6660" spans="1:3" x14ac:dyDescent="0.35">
      <c r="A6660" t="s">
        <v>140</v>
      </c>
      <c r="B6660">
        <v>2015</v>
      </c>
      <c r="C6660">
        <v>4203.9443425781274</v>
      </c>
    </row>
    <row r="6661" spans="1:3" x14ac:dyDescent="0.35">
      <c r="A6661" t="s">
        <v>140</v>
      </c>
      <c r="B6661">
        <v>2016</v>
      </c>
      <c r="C6661">
        <v>4259.3631782102448</v>
      </c>
    </row>
    <row r="6662" spans="1:3" x14ac:dyDescent="0.35">
      <c r="A6662" t="s">
        <v>140</v>
      </c>
      <c r="B6662">
        <v>2017</v>
      </c>
      <c r="C6662">
        <v>4442.2452902353416</v>
      </c>
    </row>
    <row r="6663" spans="1:3" x14ac:dyDescent="0.35">
      <c r="A6663" t="s">
        <v>140</v>
      </c>
      <c r="B6663">
        <v>2018</v>
      </c>
      <c r="C6663">
        <v>4842.7401583528563</v>
      </c>
    </row>
    <row r="6664" spans="1:3" x14ac:dyDescent="0.35">
      <c r="A6664" t="s">
        <v>140</v>
      </c>
      <c r="B6664">
        <v>2019</v>
      </c>
      <c r="C6664">
        <v>4760.7892478430504</v>
      </c>
    </row>
    <row r="6665" spans="1:3" x14ac:dyDescent="0.35">
      <c r="A6665" t="s">
        <v>140</v>
      </c>
      <c r="B6665">
        <v>2020</v>
      </c>
      <c r="C6665">
        <v>5328.3448482489512</v>
      </c>
    </row>
    <row r="6666" spans="1:3" x14ac:dyDescent="0.35">
      <c r="A6666" t="s">
        <v>140</v>
      </c>
      <c r="B6666">
        <v>2021</v>
      </c>
      <c r="C6666">
        <v>6240.1378759688923</v>
      </c>
    </row>
    <row r="6667" spans="1:3" x14ac:dyDescent="0.35">
      <c r="A6667" t="s">
        <v>140</v>
      </c>
      <c r="B6667">
        <v>2022</v>
      </c>
      <c r="C6667">
        <v>6898.5216284047028</v>
      </c>
    </row>
    <row r="6668" spans="1:3" x14ac:dyDescent="0.35">
      <c r="A6668" t="s">
        <v>140</v>
      </c>
      <c r="B6668">
        <v>2023</v>
      </c>
      <c r="C6668">
        <v>7635.7027933334757</v>
      </c>
    </row>
    <row r="6669" spans="1:3" x14ac:dyDescent="0.35">
      <c r="A6669" t="s">
        <v>140</v>
      </c>
      <c r="B6669">
        <v>2024</v>
      </c>
      <c r="C6669">
        <v>8566.824934062508</v>
      </c>
    </row>
    <row r="6670" spans="1:3" x14ac:dyDescent="0.35">
      <c r="A6670" t="s">
        <v>140</v>
      </c>
      <c r="B6670">
        <v>2025</v>
      </c>
      <c r="C6670">
        <v>14531.958576811136</v>
      </c>
    </row>
    <row r="6671" spans="1:3" x14ac:dyDescent="0.35">
      <c r="A6671" t="s">
        <v>141</v>
      </c>
      <c r="B6671">
        <v>1985</v>
      </c>
      <c r="C6671">
        <v>30.737332912928405</v>
      </c>
    </row>
    <row r="6672" spans="1:3" x14ac:dyDescent="0.35">
      <c r="A6672" t="s">
        <v>141</v>
      </c>
      <c r="B6672">
        <v>1986</v>
      </c>
      <c r="C6672">
        <v>48.729244323957978</v>
      </c>
    </row>
    <row r="6673" spans="1:3" x14ac:dyDescent="0.35">
      <c r="A6673" t="s">
        <v>141</v>
      </c>
      <c r="B6673">
        <v>1987</v>
      </c>
      <c r="C6673">
        <v>199.50073114177337</v>
      </c>
    </row>
    <row r="6674" spans="1:3" x14ac:dyDescent="0.35">
      <c r="A6674" t="s">
        <v>141</v>
      </c>
      <c r="B6674">
        <v>1988</v>
      </c>
      <c r="C6674">
        <v>243.81586439929657</v>
      </c>
    </row>
    <row r="6675" spans="1:3" x14ac:dyDescent="0.35">
      <c r="A6675" t="s">
        <v>141</v>
      </c>
      <c r="B6675">
        <v>1989</v>
      </c>
      <c r="C6675">
        <v>244.99566332235656</v>
      </c>
    </row>
    <row r="6676" spans="1:3" x14ac:dyDescent="0.35">
      <c r="A6676" t="s">
        <v>141</v>
      </c>
      <c r="B6676">
        <v>1990</v>
      </c>
      <c r="C6676">
        <v>411.40906326500362</v>
      </c>
    </row>
    <row r="6677" spans="1:3" x14ac:dyDescent="0.35">
      <c r="A6677" t="s">
        <v>141</v>
      </c>
      <c r="B6677">
        <v>1991</v>
      </c>
      <c r="C6677">
        <v>418.38736873411358</v>
      </c>
    </row>
    <row r="6678" spans="1:3" x14ac:dyDescent="0.35">
      <c r="A6678" t="s">
        <v>141</v>
      </c>
      <c r="B6678">
        <v>1992</v>
      </c>
      <c r="C6678">
        <v>630.12710601107403</v>
      </c>
    </row>
    <row r="6679" spans="1:3" x14ac:dyDescent="0.35">
      <c r="A6679" t="s">
        <v>141</v>
      </c>
      <c r="B6679">
        <v>1993</v>
      </c>
      <c r="C6679">
        <v>268.27727162014759</v>
      </c>
    </row>
    <row r="6680" spans="1:3" x14ac:dyDescent="0.35">
      <c r="A6680" t="s">
        <v>141</v>
      </c>
      <c r="B6680">
        <v>1994</v>
      </c>
      <c r="C6680">
        <v>298.46912687672869</v>
      </c>
    </row>
    <row r="6681" spans="1:3" x14ac:dyDescent="0.35">
      <c r="A6681" t="s">
        <v>141</v>
      </c>
      <c r="B6681">
        <v>1995</v>
      </c>
      <c r="C6681">
        <v>298.83338551059114</v>
      </c>
    </row>
    <row r="6682" spans="1:3" x14ac:dyDescent="0.35">
      <c r="A6682" t="s">
        <v>141</v>
      </c>
      <c r="B6682">
        <v>1996</v>
      </c>
      <c r="C6682">
        <v>448.07590933052188</v>
      </c>
    </row>
    <row r="6683" spans="1:3" x14ac:dyDescent="0.35">
      <c r="A6683" t="s">
        <v>141</v>
      </c>
      <c r="B6683">
        <v>1997</v>
      </c>
      <c r="C6683">
        <v>534.1411886634512</v>
      </c>
    </row>
    <row r="6684" spans="1:3" x14ac:dyDescent="0.35">
      <c r="A6684" t="s">
        <v>141</v>
      </c>
      <c r="B6684">
        <v>1998</v>
      </c>
      <c r="C6684">
        <v>483.74864510820487</v>
      </c>
    </row>
    <row r="6685" spans="1:3" x14ac:dyDescent="0.35">
      <c r="A6685" t="s">
        <v>141</v>
      </c>
      <c r="B6685">
        <v>1999</v>
      </c>
      <c r="C6685">
        <v>286.58881536542208</v>
      </c>
    </row>
    <row r="6686" spans="1:3" x14ac:dyDescent="0.35">
      <c r="A6686" t="s">
        <v>141</v>
      </c>
      <c r="B6686">
        <v>2000</v>
      </c>
      <c r="C6686">
        <v>275.47447945457901</v>
      </c>
    </row>
    <row r="6687" spans="1:3" x14ac:dyDescent="0.35">
      <c r="A6687" t="s">
        <v>141</v>
      </c>
      <c r="B6687">
        <v>2001</v>
      </c>
      <c r="C6687">
        <v>322.14476827947851</v>
      </c>
    </row>
    <row r="6688" spans="1:3" x14ac:dyDescent="0.35">
      <c r="A6688" t="s">
        <v>141</v>
      </c>
      <c r="B6688">
        <v>2002</v>
      </c>
      <c r="C6688">
        <v>238.10644204978587</v>
      </c>
    </row>
    <row r="6689" spans="1:3" x14ac:dyDescent="0.35">
      <c r="A6689" t="s">
        <v>141</v>
      </c>
      <c r="B6689">
        <v>2003</v>
      </c>
      <c r="C6689">
        <v>287.79933952873142</v>
      </c>
    </row>
    <row r="6690" spans="1:3" x14ac:dyDescent="0.35">
      <c r="A6690" t="s">
        <v>141</v>
      </c>
      <c r="B6690">
        <v>2004</v>
      </c>
      <c r="C6690">
        <v>336.49339119529651</v>
      </c>
    </row>
    <row r="6691" spans="1:3" x14ac:dyDescent="0.35">
      <c r="A6691" t="s">
        <v>141</v>
      </c>
      <c r="B6691">
        <v>2005</v>
      </c>
      <c r="C6691">
        <v>375.56583594488387</v>
      </c>
    </row>
    <row r="6692" spans="1:3" x14ac:dyDescent="0.35">
      <c r="A6692" t="s">
        <v>141</v>
      </c>
      <c r="B6692">
        <v>2006</v>
      </c>
      <c r="C6692">
        <v>381.36289564832316</v>
      </c>
    </row>
    <row r="6693" spans="1:3" x14ac:dyDescent="0.35">
      <c r="A6693" t="s">
        <v>141</v>
      </c>
      <c r="B6693">
        <v>2007</v>
      </c>
      <c r="C6693">
        <v>403.75671673249951</v>
      </c>
    </row>
    <row r="6694" spans="1:3" x14ac:dyDescent="0.35">
      <c r="A6694" t="s">
        <v>141</v>
      </c>
      <c r="B6694">
        <v>2008</v>
      </c>
      <c r="C6694">
        <v>453.80305416193647</v>
      </c>
    </row>
    <row r="6695" spans="1:3" x14ac:dyDescent="0.35">
      <c r="A6695" t="s">
        <v>141</v>
      </c>
      <c r="B6695">
        <v>2009</v>
      </c>
      <c r="C6695">
        <v>471.35278109254381</v>
      </c>
    </row>
    <row r="6696" spans="1:3" x14ac:dyDescent="0.35">
      <c r="A6696" t="s">
        <v>141</v>
      </c>
      <c r="B6696">
        <v>2010</v>
      </c>
      <c r="C6696">
        <v>477.5874285638605</v>
      </c>
    </row>
    <row r="6697" spans="1:3" x14ac:dyDescent="0.35">
      <c r="A6697" t="s">
        <v>141</v>
      </c>
      <c r="B6697">
        <v>2011</v>
      </c>
      <c r="C6697">
        <v>479.73531844499587</v>
      </c>
    </row>
    <row r="6698" spans="1:3" x14ac:dyDescent="0.35">
      <c r="A6698" t="s">
        <v>141</v>
      </c>
      <c r="B6698">
        <v>2012</v>
      </c>
      <c r="C6698">
        <v>414.49632144151178</v>
      </c>
    </row>
    <row r="6699" spans="1:3" x14ac:dyDescent="0.35">
      <c r="A6699" t="s">
        <v>141</v>
      </c>
      <c r="B6699">
        <v>2013</v>
      </c>
      <c r="C6699">
        <v>384.9253610459412</v>
      </c>
    </row>
    <row r="6700" spans="1:3" x14ac:dyDescent="0.35">
      <c r="A6700" t="s">
        <v>141</v>
      </c>
      <c r="B6700">
        <v>2014</v>
      </c>
      <c r="C6700">
        <v>357.80684002920407</v>
      </c>
    </row>
    <row r="6701" spans="1:3" x14ac:dyDescent="0.35">
      <c r="A6701" t="s">
        <v>141</v>
      </c>
      <c r="B6701">
        <v>2015</v>
      </c>
      <c r="C6701">
        <v>327.89176000887215</v>
      </c>
    </row>
    <row r="6702" spans="1:3" x14ac:dyDescent="0.35">
      <c r="A6702" t="s">
        <v>141</v>
      </c>
      <c r="B6702">
        <v>2016</v>
      </c>
      <c r="C6702">
        <v>295.34070697916104</v>
      </c>
    </row>
    <row r="6703" spans="1:3" x14ac:dyDescent="0.35">
      <c r="A6703" t="s">
        <v>141</v>
      </c>
      <c r="B6703">
        <v>2017</v>
      </c>
      <c r="C6703">
        <v>357.3809208319405</v>
      </c>
    </row>
    <row r="6704" spans="1:3" x14ac:dyDescent="0.35">
      <c r="A6704" t="s">
        <v>141</v>
      </c>
      <c r="B6704">
        <v>2018</v>
      </c>
      <c r="C6704">
        <v>450.40897985198819</v>
      </c>
    </row>
    <row r="6705" spans="1:3" x14ac:dyDescent="0.35">
      <c r="A6705" t="s">
        <v>141</v>
      </c>
      <c r="B6705">
        <v>2019</v>
      </c>
      <c r="C6705">
        <v>463.6139722346619</v>
      </c>
    </row>
    <row r="6706" spans="1:3" x14ac:dyDescent="0.35">
      <c r="A6706" t="s">
        <v>141</v>
      </c>
      <c r="B6706">
        <v>2020</v>
      </c>
      <c r="C6706">
        <v>483.41502336714922</v>
      </c>
    </row>
    <row r="6707" spans="1:3" x14ac:dyDescent="0.35">
      <c r="A6707" t="s">
        <v>141</v>
      </c>
      <c r="B6707">
        <v>2021</v>
      </c>
      <c r="C6707">
        <v>541.80463576158945</v>
      </c>
    </row>
    <row r="6708" spans="1:3" x14ac:dyDescent="0.35">
      <c r="A6708" t="s">
        <v>141</v>
      </c>
      <c r="B6708">
        <v>2022</v>
      </c>
      <c r="C6708">
        <v>532.51238987942486</v>
      </c>
    </row>
    <row r="6709" spans="1:3" x14ac:dyDescent="0.35">
      <c r="A6709" t="s">
        <v>141</v>
      </c>
      <c r="B6709">
        <v>2023</v>
      </c>
      <c r="C6709">
        <v>558.87831081110278</v>
      </c>
    </row>
    <row r="6710" spans="1:3" x14ac:dyDescent="0.35">
      <c r="A6710" t="s">
        <v>141</v>
      </c>
      <c r="B6710">
        <v>2024</v>
      </c>
      <c r="C6710">
        <v>596.02233515276987</v>
      </c>
    </row>
    <row r="6711" spans="1:3" x14ac:dyDescent="0.35">
      <c r="A6711" t="s">
        <v>141</v>
      </c>
      <c r="B6711">
        <v>2025</v>
      </c>
      <c r="C6711">
        <v>663.3125014101031</v>
      </c>
    </row>
    <row r="6712" spans="1:3" x14ac:dyDescent="0.35">
      <c r="A6712" t="s">
        <v>142</v>
      </c>
      <c r="B6712">
        <v>1949</v>
      </c>
      <c r="C6712">
        <v>69.297401347449465</v>
      </c>
    </row>
    <row r="6713" spans="1:3" x14ac:dyDescent="0.35">
      <c r="A6713" t="s">
        <v>142</v>
      </c>
      <c r="B6713">
        <v>1950</v>
      </c>
      <c r="C6713">
        <v>51.975202471645282</v>
      </c>
    </row>
    <row r="6714" spans="1:3" x14ac:dyDescent="0.35">
      <c r="A6714" t="s">
        <v>142</v>
      </c>
      <c r="B6714">
        <v>1951</v>
      </c>
      <c r="C6714">
        <v>68.769418312065483</v>
      </c>
    </row>
    <row r="6715" spans="1:3" x14ac:dyDescent="0.35">
      <c r="A6715" t="s">
        <v>142</v>
      </c>
      <c r="B6715">
        <v>1952</v>
      </c>
      <c r="C6715">
        <v>97.869740587276354</v>
      </c>
    </row>
    <row r="6716" spans="1:3" x14ac:dyDescent="0.35">
      <c r="A6716" t="s">
        <v>142</v>
      </c>
      <c r="B6716">
        <v>1953</v>
      </c>
      <c r="C6716">
        <v>128.70739553563413</v>
      </c>
    </row>
    <row r="6717" spans="1:3" x14ac:dyDescent="0.35">
      <c r="A6717" t="s">
        <v>142</v>
      </c>
      <c r="B6717">
        <v>1954</v>
      </c>
      <c r="C6717">
        <v>128.12828464458516</v>
      </c>
    </row>
    <row r="6718" spans="1:3" x14ac:dyDescent="0.35">
      <c r="A6718" t="s">
        <v>142</v>
      </c>
      <c r="B6718">
        <v>1955</v>
      </c>
      <c r="C6718">
        <v>133.19550494126366</v>
      </c>
    </row>
    <row r="6719" spans="1:3" x14ac:dyDescent="0.35">
      <c r="A6719" t="s">
        <v>142</v>
      </c>
      <c r="B6719">
        <v>1956</v>
      </c>
      <c r="C6719">
        <v>135.51194850545957</v>
      </c>
    </row>
    <row r="6720" spans="1:3" x14ac:dyDescent="0.35">
      <c r="A6720" t="s">
        <v>142</v>
      </c>
      <c r="B6720">
        <v>1957</v>
      </c>
      <c r="C6720">
        <v>146.51505543539005</v>
      </c>
    </row>
    <row r="6721" spans="1:3" x14ac:dyDescent="0.35">
      <c r="A6721" t="s">
        <v>142</v>
      </c>
      <c r="B6721">
        <v>1958</v>
      </c>
      <c r="C6721">
        <v>143.04039008909621</v>
      </c>
    </row>
    <row r="6722" spans="1:3" x14ac:dyDescent="0.35">
      <c r="A6722" t="s">
        <v>142</v>
      </c>
      <c r="B6722">
        <v>1959</v>
      </c>
      <c r="C6722">
        <v>142.75083464357172</v>
      </c>
    </row>
    <row r="6723" spans="1:3" x14ac:dyDescent="0.35">
      <c r="A6723" t="s">
        <v>142</v>
      </c>
      <c r="B6723">
        <v>1960</v>
      </c>
      <c r="C6723">
        <v>161.13760543437661</v>
      </c>
    </row>
    <row r="6724" spans="1:3" x14ac:dyDescent="0.35">
      <c r="A6724" t="s">
        <v>142</v>
      </c>
      <c r="B6724">
        <v>1961</v>
      </c>
      <c r="C6724">
        <v>170.8377128594469</v>
      </c>
    </row>
    <row r="6725" spans="1:3" x14ac:dyDescent="0.35">
      <c r="A6725" t="s">
        <v>142</v>
      </c>
      <c r="B6725">
        <v>1962</v>
      </c>
      <c r="C6725">
        <v>224.55024800423908</v>
      </c>
    </row>
    <row r="6726" spans="1:3" x14ac:dyDescent="0.35">
      <c r="A6726" t="s">
        <v>142</v>
      </c>
      <c r="B6726">
        <v>1963</v>
      </c>
      <c r="C6726">
        <v>239.02802028046341</v>
      </c>
    </row>
    <row r="6727" spans="1:3" x14ac:dyDescent="0.35">
      <c r="A6727" t="s">
        <v>142</v>
      </c>
      <c r="B6727">
        <v>1964</v>
      </c>
      <c r="C6727">
        <v>255.38790295259687</v>
      </c>
    </row>
    <row r="6728" spans="1:3" x14ac:dyDescent="0.35">
      <c r="A6728" t="s">
        <v>142</v>
      </c>
      <c r="B6728">
        <v>1965</v>
      </c>
      <c r="C6728">
        <v>285.7912247326679</v>
      </c>
    </row>
    <row r="6729" spans="1:3" x14ac:dyDescent="0.35">
      <c r="A6729" t="s">
        <v>142</v>
      </c>
      <c r="B6729">
        <v>1966</v>
      </c>
      <c r="C6729">
        <v>301.13766334546574</v>
      </c>
    </row>
    <row r="6730" spans="1:3" x14ac:dyDescent="0.35">
      <c r="A6730" t="s">
        <v>142</v>
      </c>
      <c r="B6730">
        <v>1967</v>
      </c>
      <c r="C6730">
        <v>323.29290135613394</v>
      </c>
    </row>
    <row r="6731" spans="1:3" x14ac:dyDescent="0.35">
      <c r="A6731" t="s">
        <v>142</v>
      </c>
      <c r="B6731">
        <v>1968</v>
      </c>
      <c r="C6731">
        <v>345.4666666666667</v>
      </c>
    </row>
    <row r="6732" spans="1:3" x14ac:dyDescent="0.35">
      <c r="A6732" t="s">
        <v>142</v>
      </c>
      <c r="B6732">
        <v>1969</v>
      </c>
      <c r="C6732">
        <v>352</v>
      </c>
    </row>
    <row r="6733" spans="1:3" x14ac:dyDescent="0.35">
      <c r="A6733" t="s">
        <v>142</v>
      </c>
      <c r="B6733">
        <v>1970</v>
      </c>
      <c r="C6733">
        <v>395.6</v>
      </c>
    </row>
    <row r="6734" spans="1:3" x14ac:dyDescent="0.35">
      <c r="A6734" t="s">
        <v>142</v>
      </c>
      <c r="B6734">
        <v>1971</v>
      </c>
      <c r="C6734">
        <v>430.22538693353658</v>
      </c>
    </row>
    <row r="6735" spans="1:3" x14ac:dyDescent="0.35">
      <c r="A6735" t="s">
        <v>142</v>
      </c>
      <c r="B6735">
        <v>1972</v>
      </c>
      <c r="C6735">
        <v>487.24402061217762</v>
      </c>
    </row>
    <row r="6736" spans="1:3" x14ac:dyDescent="0.35">
      <c r="A6736" t="s">
        <v>142</v>
      </c>
      <c r="B6736">
        <v>1973</v>
      </c>
      <c r="C6736">
        <v>581.86626993966445</v>
      </c>
    </row>
    <row r="6737" spans="1:3" x14ac:dyDescent="0.35">
      <c r="A6737" t="s">
        <v>142</v>
      </c>
      <c r="B6737">
        <v>1974</v>
      </c>
      <c r="C6737">
        <v>732.08748297757131</v>
      </c>
    </row>
    <row r="6738" spans="1:3" x14ac:dyDescent="0.35">
      <c r="A6738" t="s">
        <v>142</v>
      </c>
      <c r="B6738">
        <v>1975</v>
      </c>
      <c r="C6738">
        <v>931.9283346240527</v>
      </c>
    </row>
    <row r="6739" spans="1:3" x14ac:dyDescent="0.35">
      <c r="A6739" t="s">
        <v>142</v>
      </c>
      <c r="B6739">
        <v>1976</v>
      </c>
      <c r="C6739">
        <v>945.24087596070819</v>
      </c>
    </row>
    <row r="6740" spans="1:3" x14ac:dyDescent="0.35">
      <c r="A6740" t="s">
        <v>142</v>
      </c>
      <c r="B6740">
        <v>1977</v>
      </c>
      <c r="C6740">
        <v>1063.101451061852</v>
      </c>
    </row>
    <row r="6741" spans="1:3" x14ac:dyDescent="0.35">
      <c r="A6741" t="s">
        <v>142</v>
      </c>
      <c r="B6741">
        <v>1978</v>
      </c>
      <c r="C6741">
        <v>1322.6659316507757</v>
      </c>
    </row>
    <row r="6742" spans="1:3" x14ac:dyDescent="0.35">
      <c r="A6742" t="s">
        <v>142</v>
      </c>
      <c r="B6742">
        <v>1979</v>
      </c>
      <c r="C6742">
        <v>1529.1885891548311</v>
      </c>
    </row>
    <row r="6743" spans="1:3" x14ac:dyDescent="0.35">
      <c r="A6743" t="s">
        <v>142</v>
      </c>
      <c r="B6743">
        <v>1980</v>
      </c>
      <c r="C6743">
        <v>1617.6538430146525</v>
      </c>
    </row>
    <row r="6744" spans="1:3" x14ac:dyDescent="0.35">
      <c r="A6744" t="s">
        <v>142</v>
      </c>
      <c r="B6744">
        <v>1981</v>
      </c>
      <c r="C6744">
        <v>1446.0852096690189</v>
      </c>
    </row>
    <row r="6745" spans="1:3" x14ac:dyDescent="0.35">
      <c r="A6745" t="s">
        <v>142</v>
      </c>
      <c r="B6745">
        <v>1982</v>
      </c>
      <c r="C6745">
        <v>1400.4301261095191</v>
      </c>
    </row>
    <row r="6746" spans="1:3" x14ac:dyDescent="0.35">
      <c r="A6746" t="s">
        <v>142</v>
      </c>
      <c r="B6746">
        <v>1983</v>
      </c>
      <c r="C6746">
        <v>1374.9604974964436</v>
      </c>
    </row>
    <row r="6747" spans="1:3" x14ac:dyDescent="0.35">
      <c r="A6747" t="s">
        <v>142</v>
      </c>
      <c r="B6747">
        <v>1984</v>
      </c>
      <c r="C6747">
        <v>1259.5832609157446</v>
      </c>
    </row>
    <row r="6748" spans="1:3" x14ac:dyDescent="0.35">
      <c r="A6748" t="s">
        <v>142</v>
      </c>
      <c r="B6748">
        <v>1985</v>
      </c>
      <c r="C6748">
        <v>1259.2956098297536</v>
      </c>
    </row>
    <row r="6749" spans="1:3" x14ac:dyDescent="0.35">
      <c r="A6749" t="s">
        <v>142</v>
      </c>
      <c r="B6749">
        <v>1986</v>
      </c>
      <c r="C6749">
        <v>1647.8823975805187</v>
      </c>
    </row>
    <row r="6750" spans="1:3" x14ac:dyDescent="0.35">
      <c r="A6750" t="s">
        <v>142</v>
      </c>
      <c r="B6750">
        <v>1987</v>
      </c>
      <c r="C6750">
        <v>2141.2740924401196</v>
      </c>
    </row>
    <row r="6751" spans="1:3" x14ac:dyDescent="0.35">
      <c r="A6751" t="s">
        <v>142</v>
      </c>
      <c r="B6751">
        <v>1988</v>
      </c>
      <c r="C6751">
        <v>2320.4234401391659</v>
      </c>
    </row>
    <row r="6752" spans="1:3" x14ac:dyDescent="0.35">
      <c r="A6752" t="s">
        <v>142</v>
      </c>
      <c r="B6752">
        <v>1989</v>
      </c>
      <c r="C6752">
        <v>2183.6671600425707</v>
      </c>
    </row>
    <row r="6753" spans="1:3" x14ac:dyDescent="0.35">
      <c r="A6753" t="s">
        <v>142</v>
      </c>
      <c r="B6753">
        <v>1990</v>
      </c>
      <c r="C6753">
        <v>2649.8894734800988</v>
      </c>
    </row>
    <row r="6754" spans="1:3" x14ac:dyDescent="0.35">
      <c r="A6754" t="s">
        <v>142</v>
      </c>
      <c r="B6754">
        <v>1991</v>
      </c>
      <c r="C6754">
        <v>2671.9466705021214</v>
      </c>
    </row>
    <row r="6755" spans="1:3" x14ac:dyDescent="0.35">
      <c r="A6755" t="s">
        <v>142</v>
      </c>
      <c r="B6755">
        <v>1992</v>
      </c>
      <c r="C6755">
        <v>2837.7453765906303</v>
      </c>
    </row>
    <row r="6756" spans="1:3" x14ac:dyDescent="0.35">
      <c r="A6756" t="s">
        <v>142</v>
      </c>
      <c r="B6756">
        <v>1993</v>
      </c>
      <c r="C6756">
        <v>2682.011246248423</v>
      </c>
    </row>
    <row r="6757" spans="1:3" x14ac:dyDescent="0.35">
      <c r="A6757" t="s">
        <v>142</v>
      </c>
      <c r="B6757">
        <v>1994</v>
      </c>
      <c r="C6757">
        <v>2718.7900417416736</v>
      </c>
    </row>
    <row r="6758" spans="1:3" x14ac:dyDescent="0.35">
      <c r="A6758" t="s">
        <v>142</v>
      </c>
      <c r="B6758">
        <v>1995</v>
      </c>
      <c r="C6758">
        <v>3117.9661464701549</v>
      </c>
    </row>
    <row r="6759" spans="1:3" x14ac:dyDescent="0.35">
      <c r="A6759" t="s">
        <v>142</v>
      </c>
      <c r="B6759">
        <v>1996</v>
      </c>
      <c r="C6759">
        <v>3086.2249446855917</v>
      </c>
    </row>
    <row r="6760" spans="1:3" x14ac:dyDescent="0.35">
      <c r="A6760" t="s">
        <v>142</v>
      </c>
      <c r="B6760">
        <v>1997</v>
      </c>
      <c r="C6760">
        <v>2804.3170826986607</v>
      </c>
    </row>
    <row r="6761" spans="1:3" x14ac:dyDescent="0.35">
      <c r="A6761" t="s">
        <v>142</v>
      </c>
      <c r="B6761">
        <v>1998</v>
      </c>
      <c r="C6761">
        <v>2846.0653381745246</v>
      </c>
    </row>
    <row r="6762" spans="1:3" x14ac:dyDescent="0.35">
      <c r="A6762" t="s">
        <v>142</v>
      </c>
      <c r="B6762">
        <v>1999</v>
      </c>
      <c r="C6762">
        <v>2784.881254085295</v>
      </c>
    </row>
    <row r="6763" spans="1:3" x14ac:dyDescent="0.35">
      <c r="A6763" t="s">
        <v>142</v>
      </c>
      <c r="B6763">
        <v>2000</v>
      </c>
      <c r="C6763">
        <v>2392.5108311868903</v>
      </c>
    </row>
    <row r="6764" spans="1:3" x14ac:dyDescent="0.35">
      <c r="A6764" t="s">
        <v>142</v>
      </c>
      <c r="B6764">
        <v>2001</v>
      </c>
      <c r="C6764">
        <v>2525.225824900695</v>
      </c>
    </row>
    <row r="6765" spans="1:3" x14ac:dyDescent="0.35">
      <c r="A6765" t="s">
        <v>142</v>
      </c>
      <c r="B6765">
        <v>2002</v>
      </c>
      <c r="C6765">
        <v>2694.0824932138103</v>
      </c>
    </row>
    <row r="6766" spans="1:3" x14ac:dyDescent="0.35">
      <c r="A6766" t="s">
        <v>142</v>
      </c>
      <c r="B6766">
        <v>2003</v>
      </c>
      <c r="C6766">
        <v>3199.1584277900988</v>
      </c>
    </row>
    <row r="6767" spans="1:3" x14ac:dyDescent="0.35">
      <c r="A6767" t="s">
        <v>142</v>
      </c>
      <c r="B6767">
        <v>2004</v>
      </c>
      <c r="C6767">
        <v>3578.8324603659453</v>
      </c>
    </row>
    <row r="6768" spans="1:3" x14ac:dyDescent="0.35">
      <c r="A6768" t="s">
        <v>142</v>
      </c>
      <c r="B6768">
        <v>2005</v>
      </c>
      <c r="C6768">
        <v>3468.4529199204258</v>
      </c>
    </row>
    <row r="6769" spans="1:3" x14ac:dyDescent="0.35">
      <c r="A6769" t="s">
        <v>142</v>
      </c>
      <c r="B6769">
        <v>2006</v>
      </c>
      <c r="C6769">
        <v>3896.7306676890685</v>
      </c>
    </row>
    <row r="6770" spans="1:3" x14ac:dyDescent="0.35">
      <c r="A6770" t="s">
        <v>142</v>
      </c>
      <c r="B6770">
        <v>2007</v>
      </c>
      <c r="C6770">
        <v>4175.6525892315885</v>
      </c>
    </row>
    <row r="6771" spans="1:3" x14ac:dyDescent="0.35">
      <c r="A6771" t="s">
        <v>142</v>
      </c>
      <c r="B6771">
        <v>2008</v>
      </c>
      <c r="C6771">
        <v>4788.0301208482324</v>
      </c>
    </row>
    <row r="6772" spans="1:3" x14ac:dyDescent="0.35">
      <c r="A6772" t="s">
        <v>142</v>
      </c>
      <c r="B6772">
        <v>2009</v>
      </c>
      <c r="C6772">
        <v>4337.3556904009984</v>
      </c>
    </row>
    <row r="6773" spans="1:3" x14ac:dyDescent="0.35">
      <c r="A6773" t="s">
        <v>142</v>
      </c>
      <c r="B6773">
        <v>2010</v>
      </c>
      <c r="C6773">
        <v>4503.49212671228</v>
      </c>
    </row>
    <row r="6774" spans="1:3" x14ac:dyDescent="0.35">
      <c r="A6774" t="s">
        <v>142</v>
      </c>
      <c r="B6774">
        <v>2011</v>
      </c>
      <c r="C6774">
        <v>4518.5901268647403</v>
      </c>
    </row>
    <row r="6775" spans="1:3" x14ac:dyDescent="0.35">
      <c r="A6775" t="s">
        <v>142</v>
      </c>
      <c r="B6775">
        <v>2012</v>
      </c>
      <c r="C6775">
        <v>4422.4580835842335</v>
      </c>
    </row>
    <row r="6776" spans="1:3" x14ac:dyDescent="0.35">
      <c r="A6776" t="s">
        <v>142</v>
      </c>
      <c r="B6776">
        <v>2013</v>
      </c>
      <c r="C6776">
        <v>4216.647585336279</v>
      </c>
    </row>
    <row r="6777" spans="1:3" x14ac:dyDescent="0.35">
      <c r="A6777" t="s">
        <v>142</v>
      </c>
      <c r="B6777">
        <v>2014</v>
      </c>
      <c r="C6777">
        <v>4056.861510684545</v>
      </c>
    </row>
    <row r="6778" spans="1:3" x14ac:dyDescent="0.35">
      <c r="A6778" t="s">
        <v>142</v>
      </c>
      <c r="B6778">
        <v>2015</v>
      </c>
      <c r="C6778">
        <v>3364.047774074063</v>
      </c>
    </row>
    <row r="6779" spans="1:3" x14ac:dyDescent="0.35">
      <c r="A6779" t="s">
        <v>142</v>
      </c>
      <c r="B6779">
        <v>2016</v>
      </c>
      <c r="C6779">
        <v>3592.7279437738093</v>
      </c>
    </row>
    <row r="6780" spans="1:3" x14ac:dyDescent="0.35">
      <c r="A6780" t="s">
        <v>142</v>
      </c>
      <c r="B6780">
        <v>2017</v>
      </c>
      <c r="C6780">
        <v>3764.0333435635516</v>
      </c>
    </row>
    <row r="6781" spans="1:3" x14ac:dyDescent="0.35">
      <c r="A6781" t="s">
        <v>142</v>
      </c>
      <c r="B6781">
        <v>2018</v>
      </c>
      <c r="C6781">
        <v>4558.6901869118183</v>
      </c>
    </row>
    <row r="6782" spans="1:3" x14ac:dyDescent="0.35">
      <c r="A6782" t="s">
        <v>142</v>
      </c>
      <c r="B6782">
        <v>2019</v>
      </c>
      <c r="C6782">
        <v>4487.7792772529619</v>
      </c>
    </row>
    <row r="6783" spans="1:3" x14ac:dyDescent="0.35">
      <c r="A6783" t="s">
        <v>142</v>
      </c>
      <c r="B6783">
        <v>2020</v>
      </c>
      <c r="C6783">
        <v>4887.1559633027528</v>
      </c>
    </row>
    <row r="6784" spans="1:3" x14ac:dyDescent="0.35">
      <c r="A6784" t="s">
        <v>142</v>
      </c>
      <c r="B6784">
        <v>2021</v>
      </c>
      <c r="C6784">
        <v>5273.6959287531809</v>
      </c>
    </row>
    <row r="6785" spans="1:3" x14ac:dyDescent="0.35">
      <c r="A6785" t="s">
        <v>142</v>
      </c>
      <c r="B6785">
        <v>2022</v>
      </c>
      <c r="C6785">
        <v>5469.7740112994343</v>
      </c>
    </row>
    <row r="6786" spans="1:3" x14ac:dyDescent="0.35">
      <c r="A6786" t="s">
        <v>142</v>
      </c>
      <c r="B6786">
        <v>2023</v>
      </c>
      <c r="C6786">
        <v>8142.2351233671989</v>
      </c>
    </row>
    <row r="6787" spans="1:3" x14ac:dyDescent="0.35">
      <c r="A6787" t="s">
        <v>142</v>
      </c>
      <c r="B6787">
        <v>2024</v>
      </c>
      <c r="C6787">
        <v>9637.1552975326558</v>
      </c>
    </row>
    <row r="6788" spans="1:3" x14ac:dyDescent="0.35">
      <c r="A6788" t="s">
        <v>142</v>
      </c>
      <c r="B6788">
        <v>2025</v>
      </c>
      <c r="C6788">
        <v>14948.790190933383</v>
      </c>
    </row>
    <row r="6789" spans="1:3" x14ac:dyDescent="0.35">
      <c r="A6789" t="s">
        <v>143</v>
      </c>
      <c r="B6789">
        <v>1958</v>
      </c>
      <c r="C6789">
        <v>69.119158084061525</v>
      </c>
    </row>
    <row r="6790" spans="1:3" x14ac:dyDescent="0.35">
      <c r="A6790" t="s">
        <v>143</v>
      </c>
      <c r="B6790">
        <v>1959</v>
      </c>
      <c r="C6790">
        <v>82.49705964871859</v>
      </c>
    </row>
    <row r="6791" spans="1:3" x14ac:dyDescent="0.35">
      <c r="A6791" t="s">
        <v>143</v>
      </c>
      <c r="B6791">
        <v>1960</v>
      </c>
      <c r="C6791">
        <v>89.55761880784317</v>
      </c>
    </row>
    <row r="6792" spans="1:3" x14ac:dyDescent="0.35">
      <c r="A6792" t="s">
        <v>143</v>
      </c>
      <c r="B6792">
        <v>1961</v>
      </c>
      <c r="C6792">
        <v>105.35097482167443</v>
      </c>
    </row>
    <row r="6793" spans="1:3" x14ac:dyDescent="0.35">
      <c r="A6793" t="s">
        <v>143</v>
      </c>
      <c r="B6793">
        <v>1962</v>
      </c>
      <c r="C6793">
        <v>154.40328055875034</v>
      </c>
    </row>
    <row r="6794" spans="1:3" x14ac:dyDescent="0.35">
      <c r="A6794" t="s">
        <v>143</v>
      </c>
      <c r="B6794">
        <v>1963</v>
      </c>
      <c r="C6794">
        <v>128.57649837142628</v>
      </c>
    </row>
    <row r="6795" spans="1:3" x14ac:dyDescent="0.35">
      <c r="A6795" t="s">
        <v>143</v>
      </c>
      <c r="B6795">
        <v>1964</v>
      </c>
      <c r="C6795">
        <v>139.91055386370519</v>
      </c>
    </row>
    <row r="6796" spans="1:3" x14ac:dyDescent="0.35">
      <c r="A6796" t="s">
        <v>143</v>
      </c>
      <c r="B6796">
        <v>1965</v>
      </c>
      <c r="C6796">
        <v>149.57237166040198</v>
      </c>
    </row>
    <row r="6797" spans="1:3" x14ac:dyDescent="0.35">
      <c r="A6797" t="s">
        <v>143</v>
      </c>
      <c r="B6797">
        <v>1966</v>
      </c>
      <c r="C6797">
        <v>152.91684705156621</v>
      </c>
    </row>
    <row r="6798" spans="1:3" x14ac:dyDescent="0.35">
      <c r="A6798" t="s">
        <v>143</v>
      </c>
      <c r="B6798">
        <v>1967</v>
      </c>
      <c r="C6798">
        <v>146.66168028443059</v>
      </c>
    </row>
    <row r="6799" spans="1:3" x14ac:dyDescent="0.35">
      <c r="A6799" t="s">
        <v>143</v>
      </c>
      <c r="B6799">
        <v>1968</v>
      </c>
      <c r="C6799">
        <v>150.06002400960384</v>
      </c>
    </row>
    <row r="6800" spans="1:3" x14ac:dyDescent="0.35">
      <c r="A6800" t="s">
        <v>143</v>
      </c>
      <c r="B6800">
        <v>1969</v>
      </c>
      <c r="C6800">
        <v>140.29196584294095</v>
      </c>
    </row>
    <row r="6801" spans="1:3" x14ac:dyDescent="0.35">
      <c r="A6801" t="s">
        <v>143</v>
      </c>
      <c r="B6801">
        <v>1970</v>
      </c>
      <c r="C6801">
        <v>152.8913452173322</v>
      </c>
    </row>
    <row r="6802" spans="1:3" x14ac:dyDescent="0.35">
      <c r="A6802" t="s">
        <v>143</v>
      </c>
      <c r="B6802">
        <v>1971</v>
      </c>
      <c r="C6802">
        <v>177.61509813589404</v>
      </c>
    </row>
    <row r="6803" spans="1:3" x14ac:dyDescent="0.35">
      <c r="A6803" t="s">
        <v>143</v>
      </c>
      <c r="B6803">
        <v>1972</v>
      </c>
      <c r="C6803">
        <v>220.8319053348113</v>
      </c>
    </row>
    <row r="6804" spans="1:3" x14ac:dyDescent="0.35">
      <c r="A6804" t="s">
        <v>143</v>
      </c>
      <c r="B6804">
        <v>1973</v>
      </c>
      <c r="C6804">
        <v>276.96779393596131</v>
      </c>
    </row>
    <row r="6805" spans="1:3" x14ac:dyDescent="0.35">
      <c r="A6805" t="s">
        <v>143</v>
      </c>
      <c r="B6805">
        <v>1974</v>
      </c>
      <c r="C6805">
        <v>308.8077970817663</v>
      </c>
    </row>
    <row r="6806" spans="1:3" x14ac:dyDescent="0.35">
      <c r="A6806" t="s">
        <v>143</v>
      </c>
      <c r="B6806">
        <v>1975</v>
      </c>
      <c r="C6806">
        <v>433.1614156620177</v>
      </c>
    </row>
    <row r="6807" spans="1:3" x14ac:dyDescent="0.35">
      <c r="A6807" t="s">
        <v>143</v>
      </c>
      <c r="B6807">
        <v>1976</v>
      </c>
      <c r="C6807">
        <v>416.95643343775197</v>
      </c>
    </row>
    <row r="6808" spans="1:3" x14ac:dyDescent="0.35">
      <c r="A6808" t="s">
        <v>143</v>
      </c>
      <c r="B6808">
        <v>1977</v>
      </c>
      <c r="C6808">
        <v>461.85696009585376</v>
      </c>
    </row>
    <row r="6809" spans="1:3" x14ac:dyDescent="0.35">
      <c r="A6809" t="s">
        <v>143</v>
      </c>
      <c r="B6809">
        <v>1978</v>
      </c>
      <c r="C6809">
        <v>506.86945295644961</v>
      </c>
    </row>
    <row r="6810" spans="1:3" x14ac:dyDescent="0.35">
      <c r="A6810" t="s">
        <v>143</v>
      </c>
      <c r="B6810">
        <v>1979</v>
      </c>
      <c r="C6810">
        <v>642.60289278147843</v>
      </c>
    </row>
    <row r="6811" spans="1:3" x14ac:dyDescent="0.35">
      <c r="A6811" t="s">
        <v>143</v>
      </c>
      <c r="B6811">
        <v>1980</v>
      </c>
      <c r="C6811">
        <v>873.50861952164246</v>
      </c>
    </row>
    <row r="6812" spans="1:3" x14ac:dyDescent="0.35">
      <c r="A6812" t="s">
        <v>143</v>
      </c>
      <c r="B6812">
        <v>1981</v>
      </c>
      <c r="C6812">
        <v>790.88089526615067</v>
      </c>
    </row>
    <row r="6813" spans="1:3" x14ac:dyDescent="0.35">
      <c r="A6813" t="s">
        <v>143</v>
      </c>
      <c r="B6813">
        <v>1982</v>
      </c>
      <c r="C6813">
        <v>844.91129048173514</v>
      </c>
    </row>
    <row r="6814" spans="1:3" x14ac:dyDescent="0.35">
      <c r="A6814" t="s">
        <v>143</v>
      </c>
      <c r="B6814">
        <v>1983</v>
      </c>
      <c r="C6814">
        <v>905.18893150345684</v>
      </c>
    </row>
    <row r="6815" spans="1:3" x14ac:dyDescent="0.35">
      <c r="A6815" t="s">
        <v>143</v>
      </c>
      <c r="B6815">
        <v>1984</v>
      </c>
      <c r="C6815">
        <v>826.07018133971758</v>
      </c>
    </row>
    <row r="6816" spans="1:3" x14ac:dyDescent="0.35">
      <c r="A6816" t="s">
        <v>143</v>
      </c>
      <c r="B6816">
        <v>1985</v>
      </c>
      <c r="C6816">
        <v>911.34966088199462</v>
      </c>
    </row>
    <row r="6817" spans="1:3" x14ac:dyDescent="0.35">
      <c r="A6817" t="s">
        <v>143</v>
      </c>
      <c r="B6817">
        <v>1986</v>
      </c>
      <c r="C6817">
        <v>1223.2710008538268</v>
      </c>
    </row>
    <row r="6818" spans="1:3" x14ac:dyDescent="0.35">
      <c r="A6818" t="s">
        <v>143</v>
      </c>
      <c r="B6818">
        <v>1987</v>
      </c>
      <c r="C6818">
        <v>1462.231546597302</v>
      </c>
    </row>
    <row r="6819" spans="1:3" x14ac:dyDescent="0.35">
      <c r="A6819" t="s">
        <v>143</v>
      </c>
      <c r="B6819">
        <v>1988</v>
      </c>
      <c r="C6819">
        <v>1704.3306202398858</v>
      </c>
    </row>
    <row r="6820" spans="1:3" x14ac:dyDescent="0.35">
      <c r="A6820" t="s">
        <v>143</v>
      </c>
      <c r="B6820">
        <v>1989</v>
      </c>
      <c r="C6820">
        <v>1766.5861657598191</v>
      </c>
    </row>
    <row r="6821" spans="1:3" x14ac:dyDescent="0.35">
      <c r="A6821" t="s">
        <v>143</v>
      </c>
      <c r="B6821">
        <v>1990</v>
      </c>
      <c r="C6821">
        <v>2141.3009841898279</v>
      </c>
    </row>
    <row r="6822" spans="1:3" x14ac:dyDescent="0.35">
      <c r="A6822" t="s">
        <v>143</v>
      </c>
      <c r="B6822">
        <v>1991</v>
      </c>
      <c r="C6822">
        <v>2200.991548898181</v>
      </c>
    </row>
    <row r="6823" spans="1:3" x14ac:dyDescent="0.35">
      <c r="A6823" t="s">
        <v>143</v>
      </c>
      <c r="B6823">
        <v>1992</v>
      </c>
      <c r="C6823">
        <v>2075.9555501282211</v>
      </c>
    </row>
    <row r="6824" spans="1:3" x14ac:dyDescent="0.35">
      <c r="A6824" t="s">
        <v>143</v>
      </c>
      <c r="B6824">
        <v>1993</v>
      </c>
      <c r="C6824">
        <v>1615.4248088448671</v>
      </c>
    </row>
    <row r="6825" spans="1:3" x14ac:dyDescent="0.35">
      <c r="A6825" t="s">
        <v>143</v>
      </c>
      <c r="B6825">
        <v>1994</v>
      </c>
      <c r="C6825">
        <v>1756.3389836682102</v>
      </c>
    </row>
    <row r="6826" spans="1:3" x14ac:dyDescent="0.35">
      <c r="A6826" t="s">
        <v>143</v>
      </c>
      <c r="B6826">
        <v>1995</v>
      </c>
      <c r="C6826">
        <v>1908.9868072944539</v>
      </c>
    </row>
    <row r="6827" spans="1:3" x14ac:dyDescent="0.35">
      <c r="A6827" t="s">
        <v>143</v>
      </c>
      <c r="B6827">
        <v>1996</v>
      </c>
      <c r="C6827">
        <v>2021.7970954464261</v>
      </c>
    </row>
    <row r="6828" spans="1:3" x14ac:dyDescent="0.35">
      <c r="A6828" t="s">
        <v>143</v>
      </c>
      <c r="B6828">
        <v>1997</v>
      </c>
      <c r="C6828">
        <v>1947.002589513444</v>
      </c>
    </row>
    <row r="6829" spans="1:3" x14ac:dyDescent="0.35">
      <c r="A6829" t="s">
        <v>143</v>
      </c>
      <c r="B6829">
        <v>1998</v>
      </c>
      <c r="C6829">
        <v>1959.7088140168023</v>
      </c>
    </row>
    <row r="6830" spans="1:3" x14ac:dyDescent="0.35">
      <c r="A6830" t="s">
        <v>143</v>
      </c>
      <c r="B6830">
        <v>1999</v>
      </c>
      <c r="C6830">
        <v>1654.5113576833239</v>
      </c>
    </row>
    <row r="6831" spans="1:3" x14ac:dyDescent="0.35">
      <c r="A6831" t="s">
        <v>143</v>
      </c>
      <c r="B6831">
        <v>2000</v>
      </c>
      <c r="C6831">
        <v>1562.0135429019497</v>
      </c>
    </row>
    <row r="6832" spans="1:3" x14ac:dyDescent="0.35">
      <c r="A6832" t="s">
        <v>143</v>
      </c>
      <c r="B6832">
        <v>2001</v>
      </c>
      <c r="C6832">
        <v>1480.5651720079554</v>
      </c>
    </row>
    <row r="6833" spans="1:3" x14ac:dyDescent="0.35">
      <c r="A6833" t="s">
        <v>143</v>
      </c>
      <c r="B6833">
        <v>2002</v>
      </c>
      <c r="C6833">
        <v>1619.0113327843324</v>
      </c>
    </row>
    <row r="6834" spans="1:3" x14ac:dyDescent="0.35">
      <c r="A6834" t="s">
        <v>143</v>
      </c>
      <c r="B6834">
        <v>2003</v>
      </c>
      <c r="C6834">
        <v>2480.6201304130336</v>
      </c>
    </row>
    <row r="6835" spans="1:3" x14ac:dyDescent="0.35">
      <c r="A6835" t="s">
        <v>143</v>
      </c>
      <c r="B6835">
        <v>2004</v>
      </c>
      <c r="C6835">
        <v>2898.1320738867021</v>
      </c>
    </row>
    <row r="6836" spans="1:3" x14ac:dyDescent="0.35">
      <c r="A6836" t="s">
        <v>143</v>
      </c>
      <c r="B6836">
        <v>2005</v>
      </c>
      <c r="C6836">
        <v>3000.5844159822241</v>
      </c>
    </row>
    <row r="6837" spans="1:3" x14ac:dyDescent="0.35">
      <c r="A6837" t="s">
        <v>143</v>
      </c>
      <c r="B6837">
        <v>2006</v>
      </c>
      <c r="C6837">
        <v>3131.2996706264707</v>
      </c>
    </row>
    <row r="6838" spans="1:3" x14ac:dyDescent="0.35">
      <c r="A6838" t="s">
        <v>143</v>
      </c>
      <c r="B6838">
        <v>2007</v>
      </c>
      <c r="C6838">
        <v>3300.920195828051</v>
      </c>
    </row>
    <row r="6839" spans="1:3" x14ac:dyDescent="0.35">
      <c r="A6839" t="s">
        <v>143</v>
      </c>
      <c r="B6839">
        <v>2008</v>
      </c>
      <c r="C6839">
        <v>3974.1407560711641</v>
      </c>
    </row>
    <row r="6840" spans="1:3" x14ac:dyDescent="0.35">
      <c r="A6840" t="s">
        <v>143</v>
      </c>
      <c r="B6840">
        <v>2009</v>
      </c>
      <c r="C6840">
        <v>3956.443178812126</v>
      </c>
    </row>
    <row r="6841" spans="1:3" x14ac:dyDescent="0.35">
      <c r="A6841" t="s">
        <v>143</v>
      </c>
      <c r="B6841">
        <v>2010</v>
      </c>
      <c r="C6841">
        <v>3720.8075086346339</v>
      </c>
    </row>
    <row r="6842" spans="1:3" x14ac:dyDescent="0.35">
      <c r="A6842" t="s">
        <v>143</v>
      </c>
      <c r="B6842">
        <v>2011</v>
      </c>
      <c r="C6842">
        <v>4104.8760408560674</v>
      </c>
    </row>
    <row r="6843" spans="1:3" x14ac:dyDescent="0.35">
      <c r="A6843" t="s">
        <v>143</v>
      </c>
      <c r="B6843">
        <v>2012</v>
      </c>
      <c r="C6843">
        <v>3943.0164339843759</v>
      </c>
    </row>
    <row r="6844" spans="1:3" x14ac:dyDescent="0.35">
      <c r="A6844" t="s">
        <v>143</v>
      </c>
      <c r="B6844">
        <v>2013</v>
      </c>
      <c r="C6844">
        <v>4162.3219349020055</v>
      </c>
    </row>
    <row r="6845" spans="1:3" x14ac:dyDescent="0.35">
      <c r="A6845" t="s">
        <v>143</v>
      </c>
      <c r="B6845">
        <v>2014</v>
      </c>
      <c r="C6845">
        <v>3990.8163560783591</v>
      </c>
    </row>
    <row r="6846" spans="1:3" x14ac:dyDescent="0.35">
      <c r="A6846" t="s">
        <v>143</v>
      </c>
      <c r="B6846">
        <v>2015</v>
      </c>
      <c r="C6846">
        <v>3400.6570097656268</v>
      </c>
    </row>
    <row r="6847" spans="1:3" x14ac:dyDescent="0.35">
      <c r="A6847" t="s">
        <v>143</v>
      </c>
      <c r="B6847">
        <v>2016</v>
      </c>
      <c r="C6847">
        <v>3418.1168124514647</v>
      </c>
    </row>
    <row r="6848" spans="1:3" x14ac:dyDescent="0.35">
      <c r="A6848" t="s">
        <v>143</v>
      </c>
      <c r="B6848">
        <v>2017</v>
      </c>
      <c r="C6848">
        <v>3454.5650376470962</v>
      </c>
    </row>
    <row r="6849" spans="1:3" x14ac:dyDescent="0.35">
      <c r="A6849" t="s">
        <v>143</v>
      </c>
      <c r="B6849">
        <v>2018</v>
      </c>
      <c r="C6849">
        <v>3756.616295686209</v>
      </c>
    </row>
    <row r="6850" spans="1:3" x14ac:dyDescent="0.35">
      <c r="A6850" t="s">
        <v>143</v>
      </c>
      <c r="B6850">
        <v>2019</v>
      </c>
      <c r="C6850">
        <v>3634.9337333332669</v>
      </c>
    </row>
    <row r="6851" spans="1:3" x14ac:dyDescent="0.35">
      <c r="A6851" t="s">
        <v>143</v>
      </c>
      <c r="B6851">
        <v>2020</v>
      </c>
      <c r="C6851">
        <v>3876.6135937742633</v>
      </c>
    </row>
    <row r="6852" spans="1:3" x14ac:dyDescent="0.35">
      <c r="A6852" t="s">
        <v>143</v>
      </c>
      <c r="B6852">
        <v>2021</v>
      </c>
      <c r="C6852">
        <v>3832.0786046511012</v>
      </c>
    </row>
    <row r="6853" spans="1:3" x14ac:dyDescent="0.35">
      <c r="A6853" t="s">
        <v>143</v>
      </c>
      <c r="B6853">
        <v>2022</v>
      </c>
      <c r="C6853">
        <v>4454.9222636186987</v>
      </c>
    </row>
    <row r="6854" spans="1:3" x14ac:dyDescent="0.35">
      <c r="A6854" t="s">
        <v>143</v>
      </c>
      <c r="B6854">
        <v>2023</v>
      </c>
      <c r="C6854">
        <v>5926.8312539138369</v>
      </c>
    </row>
    <row r="6855" spans="1:3" x14ac:dyDescent="0.35">
      <c r="A6855" t="s">
        <v>143</v>
      </c>
      <c r="B6855">
        <v>2024</v>
      </c>
      <c r="C6855">
        <v>6502.9505152937554</v>
      </c>
    </row>
    <row r="6856" spans="1:3" x14ac:dyDescent="0.35">
      <c r="A6856" t="s">
        <v>143</v>
      </c>
      <c r="B6856">
        <v>2025</v>
      </c>
      <c r="C6856">
        <v>8081.5829253435013</v>
      </c>
    </row>
    <row r="6857" spans="1:3" x14ac:dyDescent="0.35">
      <c r="A6857" t="s">
        <v>144</v>
      </c>
      <c r="B6857">
        <v>1949</v>
      </c>
      <c r="C6857">
        <v>1211.3222395541018</v>
      </c>
    </row>
    <row r="6858" spans="1:3" x14ac:dyDescent="0.35">
      <c r="A6858" t="s">
        <v>144</v>
      </c>
      <c r="B6858">
        <v>1950</v>
      </c>
      <c r="C6858">
        <v>1342.9605812732382</v>
      </c>
    </row>
    <row r="6859" spans="1:3" x14ac:dyDescent="0.35">
      <c r="A6859" t="s">
        <v>144</v>
      </c>
      <c r="B6859">
        <v>1951</v>
      </c>
      <c r="C6859">
        <v>2114.4579812596198</v>
      </c>
    </row>
    <row r="6860" spans="1:3" x14ac:dyDescent="0.35">
      <c r="A6860" t="s">
        <v>144</v>
      </c>
      <c r="B6860">
        <v>1952</v>
      </c>
      <c r="C6860">
        <v>3007.0746084767929</v>
      </c>
    </row>
    <row r="6861" spans="1:3" x14ac:dyDescent="0.35">
      <c r="A6861" t="s">
        <v>144</v>
      </c>
      <c r="B6861">
        <v>1953</v>
      </c>
      <c r="C6861">
        <v>3284.2586365655748</v>
      </c>
    </row>
    <row r="6862" spans="1:3" x14ac:dyDescent="0.35">
      <c r="A6862" t="s">
        <v>144</v>
      </c>
      <c r="B6862">
        <v>1954</v>
      </c>
      <c r="C6862">
        <v>2810.5599212359166</v>
      </c>
    </row>
    <row r="6863" spans="1:3" x14ac:dyDescent="0.35">
      <c r="A6863" t="s">
        <v>144</v>
      </c>
      <c r="B6863">
        <v>1955</v>
      </c>
      <c r="C6863">
        <v>2644.9504039240451</v>
      </c>
    </row>
    <row r="6864" spans="1:3" x14ac:dyDescent="0.35">
      <c r="A6864" t="s">
        <v>144</v>
      </c>
      <c r="B6864">
        <v>1956</v>
      </c>
      <c r="C6864">
        <v>3527.6526270832605</v>
      </c>
    </row>
    <row r="6865" spans="1:3" x14ac:dyDescent="0.35">
      <c r="A6865" t="s">
        <v>144</v>
      </c>
      <c r="B6865">
        <v>1957</v>
      </c>
      <c r="C6865">
        <v>3623.3695268357278</v>
      </c>
    </row>
    <row r="6866" spans="1:3" x14ac:dyDescent="0.35">
      <c r="A6866" t="s">
        <v>144</v>
      </c>
      <c r="B6866">
        <v>1958</v>
      </c>
      <c r="C6866">
        <v>3315.6999164964554</v>
      </c>
    </row>
    <row r="6867" spans="1:3" x14ac:dyDescent="0.35">
      <c r="A6867" t="s">
        <v>144</v>
      </c>
      <c r="B6867">
        <v>1959</v>
      </c>
      <c r="C6867">
        <v>3049.8691555178334</v>
      </c>
    </row>
    <row r="6868" spans="1:3" x14ac:dyDescent="0.35">
      <c r="A6868" t="s">
        <v>144</v>
      </c>
      <c r="B6868">
        <v>1960</v>
      </c>
      <c r="C6868">
        <v>3260.1279922053186</v>
      </c>
    </row>
    <row r="6869" spans="1:3" x14ac:dyDescent="0.35">
      <c r="A6869" t="s">
        <v>144</v>
      </c>
      <c r="B6869">
        <v>1961</v>
      </c>
      <c r="C6869">
        <v>3469.9404194730855</v>
      </c>
    </row>
    <row r="6870" spans="1:3" x14ac:dyDescent="0.35">
      <c r="A6870" t="s">
        <v>144</v>
      </c>
      <c r="B6870">
        <v>1962</v>
      </c>
      <c r="C6870">
        <v>3774.2800413662767</v>
      </c>
    </row>
    <row r="6871" spans="1:3" x14ac:dyDescent="0.35">
      <c r="A6871" t="s">
        <v>144</v>
      </c>
      <c r="B6871">
        <v>1963</v>
      </c>
      <c r="C6871">
        <v>3887.4559895004481</v>
      </c>
    </row>
    <row r="6872" spans="1:3" x14ac:dyDescent="0.35">
      <c r="A6872" t="s">
        <v>144</v>
      </c>
      <c r="B6872">
        <v>1964</v>
      </c>
      <c r="C6872">
        <v>4130.9611677214807</v>
      </c>
    </row>
    <row r="6873" spans="1:3" x14ac:dyDescent="0.35">
      <c r="A6873" t="s">
        <v>144</v>
      </c>
      <c r="B6873">
        <v>1965</v>
      </c>
      <c r="C6873">
        <v>4304.4581886951346</v>
      </c>
    </row>
    <row r="6874" spans="1:3" x14ac:dyDescent="0.35">
      <c r="A6874" t="s">
        <v>144</v>
      </c>
      <c r="B6874">
        <v>1966</v>
      </c>
      <c r="C6874">
        <v>4548.1307704485607</v>
      </c>
    </row>
    <row r="6875" spans="1:3" x14ac:dyDescent="0.35">
      <c r="A6875" t="s">
        <v>144</v>
      </c>
      <c r="B6875">
        <v>1967</v>
      </c>
      <c r="C6875">
        <v>4918.9853958798312</v>
      </c>
    </row>
    <row r="6876" spans="1:3" x14ac:dyDescent="0.35">
      <c r="A6876" t="s">
        <v>144</v>
      </c>
      <c r="B6876">
        <v>1968</v>
      </c>
      <c r="C6876">
        <v>5148.9978493898661</v>
      </c>
    </row>
    <row r="6877" spans="1:3" x14ac:dyDescent="0.35">
      <c r="A6877" t="s">
        <v>144</v>
      </c>
      <c r="B6877">
        <v>1969</v>
      </c>
      <c r="C6877">
        <v>4964.0052939821953</v>
      </c>
    </row>
    <row r="6878" spans="1:3" x14ac:dyDescent="0.35">
      <c r="A6878" t="s">
        <v>144</v>
      </c>
      <c r="B6878">
        <v>1970</v>
      </c>
      <c r="C6878">
        <v>4941.0593204955139</v>
      </c>
    </row>
    <row r="6879" spans="1:3" x14ac:dyDescent="0.35">
      <c r="A6879" t="s">
        <v>144</v>
      </c>
      <c r="B6879">
        <v>1971</v>
      </c>
      <c r="C6879">
        <v>5291.9907612161933</v>
      </c>
    </row>
    <row r="6880" spans="1:3" x14ac:dyDescent="0.35">
      <c r="A6880" t="s">
        <v>144</v>
      </c>
      <c r="B6880">
        <v>1972</v>
      </c>
      <c r="C6880">
        <v>6326.060061392619</v>
      </c>
    </row>
    <row r="6881" spans="1:3" x14ac:dyDescent="0.35">
      <c r="A6881" t="s">
        <v>144</v>
      </c>
      <c r="B6881">
        <v>1973</v>
      </c>
      <c r="C6881">
        <v>7976.5353019881031</v>
      </c>
    </row>
    <row r="6882" spans="1:3" x14ac:dyDescent="0.35">
      <c r="A6882" t="s">
        <v>144</v>
      </c>
      <c r="B6882">
        <v>1974</v>
      </c>
      <c r="C6882">
        <v>8361.6373132279205</v>
      </c>
    </row>
    <row r="6883" spans="1:3" x14ac:dyDescent="0.35">
      <c r="A6883" t="s">
        <v>144</v>
      </c>
      <c r="B6883">
        <v>1975</v>
      </c>
      <c r="C6883">
        <v>10945.218801817711</v>
      </c>
    </row>
    <row r="6884" spans="1:3" x14ac:dyDescent="0.35">
      <c r="A6884" t="s">
        <v>144</v>
      </c>
      <c r="B6884">
        <v>1976</v>
      </c>
      <c r="C6884">
        <v>11175.248198024672</v>
      </c>
    </row>
    <row r="6885" spans="1:3" x14ac:dyDescent="0.35">
      <c r="A6885" t="s">
        <v>144</v>
      </c>
      <c r="B6885">
        <v>1977</v>
      </c>
      <c r="C6885">
        <v>12634.633832544978</v>
      </c>
    </row>
    <row r="6886" spans="1:3" x14ac:dyDescent="0.35">
      <c r="A6886" t="s">
        <v>144</v>
      </c>
      <c r="B6886">
        <v>1978</v>
      </c>
      <c r="C6886">
        <v>15852.89482259149</v>
      </c>
    </row>
    <row r="6887" spans="1:3" x14ac:dyDescent="0.35">
      <c r="A6887" t="s">
        <v>144</v>
      </c>
      <c r="B6887">
        <v>1979</v>
      </c>
      <c r="C6887">
        <v>19040.482589105104</v>
      </c>
    </row>
    <row r="6888" spans="1:3" x14ac:dyDescent="0.35">
      <c r="A6888" t="s">
        <v>144</v>
      </c>
      <c r="B6888">
        <v>1980</v>
      </c>
      <c r="C6888">
        <v>22198.183002418456</v>
      </c>
    </row>
    <row r="6889" spans="1:3" x14ac:dyDescent="0.35">
      <c r="A6889" t="s">
        <v>144</v>
      </c>
      <c r="B6889">
        <v>1981</v>
      </c>
      <c r="C6889">
        <v>20047.753849349967</v>
      </c>
    </row>
    <row r="6890" spans="1:3" x14ac:dyDescent="0.35">
      <c r="A6890" t="s">
        <v>144</v>
      </c>
      <c r="B6890">
        <v>1982</v>
      </c>
      <c r="C6890">
        <v>18918.492343802442</v>
      </c>
    </row>
    <row r="6891" spans="1:3" x14ac:dyDescent="0.35">
      <c r="A6891" t="s">
        <v>144</v>
      </c>
      <c r="B6891">
        <v>1983</v>
      </c>
      <c r="C6891">
        <v>18188.520274961415</v>
      </c>
    </row>
    <row r="6892" spans="1:3" x14ac:dyDescent="0.35">
      <c r="A6892" t="s">
        <v>144</v>
      </c>
      <c r="B6892">
        <v>1984</v>
      </c>
      <c r="C6892">
        <v>16977.86645484102</v>
      </c>
    </row>
    <row r="6893" spans="1:3" x14ac:dyDescent="0.35">
      <c r="A6893" t="s">
        <v>144</v>
      </c>
      <c r="B6893">
        <v>1985</v>
      </c>
      <c r="C6893">
        <v>17455.151457831405</v>
      </c>
    </row>
    <row r="6894" spans="1:3" x14ac:dyDescent="0.35">
      <c r="A6894" t="s">
        <v>144</v>
      </c>
      <c r="B6894">
        <v>1986</v>
      </c>
      <c r="C6894">
        <v>23901.440137080255</v>
      </c>
    </row>
    <row r="6895" spans="1:3" x14ac:dyDescent="0.35">
      <c r="A6895" t="s">
        <v>144</v>
      </c>
      <c r="B6895">
        <v>1987</v>
      </c>
      <c r="C6895">
        <v>29280.47020647168</v>
      </c>
    </row>
    <row r="6896" spans="1:3" x14ac:dyDescent="0.35">
      <c r="A6896" t="s">
        <v>144</v>
      </c>
      <c r="B6896">
        <v>1988</v>
      </c>
      <c r="C6896">
        <v>30327.270741093729</v>
      </c>
    </row>
    <row r="6897" spans="1:3" x14ac:dyDescent="0.35">
      <c r="A6897" t="s">
        <v>144</v>
      </c>
      <c r="B6897">
        <v>1989</v>
      </c>
      <c r="C6897">
        <v>29665.45433540305</v>
      </c>
    </row>
    <row r="6898" spans="1:3" x14ac:dyDescent="0.35">
      <c r="A6898" t="s">
        <v>144</v>
      </c>
      <c r="B6898">
        <v>1990</v>
      </c>
      <c r="C6898">
        <v>35774.430324984074</v>
      </c>
    </row>
    <row r="6899" spans="1:3" x14ac:dyDescent="0.35">
      <c r="A6899" t="s">
        <v>144</v>
      </c>
      <c r="B6899">
        <v>1991</v>
      </c>
      <c r="C6899">
        <v>35869.120915214422</v>
      </c>
    </row>
    <row r="6900" spans="1:3" x14ac:dyDescent="0.35">
      <c r="A6900" t="s">
        <v>144</v>
      </c>
      <c r="B6900">
        <v>1992</v>
      </c>
      <c r="C6900">
        <v>37902.269820780493</v>
      </c>
    </row>
    <row r="6901" spans="1:3" x14ac:dyDescent="0.35">
      <c r="A6901" t="s">
        <v>144</v>
      </c>
      <c r="B6901">
        <v>1993</v>
      </c>
      <c r="C6901">
        <v>35775.273292887345</v>
      </c>
    </row>
    <row r="6902" spans="1:3" x14ac:dyDescent="0.35">
      <c r="A6902" t="s">
        <v>144</v>
      </c>
      <c r="B6902">
        <v>1994</v>
      </c>
      <c r="C6902">
        <v>37288.606059733989</v>
      </c>
    </row>
    <row r="6903" spans="1:3" x14ac:dyDescent="0.35">
      <c r="A6903" t="s">
        <v>144</v>
      </c>
      <c r="B6903">
        <v>1995</v>
      </c>
      <c r="C6903">
        <v>40124.024138369554</v>
      </c>
    </row>
    <row r="6904" spans="1:3" x14ac:dyDescent="0.35">
      <c r="A6904" t="s">
        <v>144</v>
      </c>
      <c r="B6904">
        <v>1996</v>
      </c>
      <c r="C6904">
        <v>38977.734095775406</v>
      </c>
    </row>
    <row r="6905" spans="1:3" x14ac:dyDescent="0.35">
      <c r="A6905" t="s">
        <v>144</v>
      </c>
      <c r="B6905">
        <v>1997</v>
      </c>
      <c r="C6905">
        <v>34697.904099179577</v>
      </c>
    </row>
    <row r="6906" spans="1:3" x14ac:dyDescent="0.35">
      <c r="A6906" t="s">
        <v>144</v>
      </c>
      <c r="B6906">
        <v>1998</v>
      </c>
      <c r="C6906">
        <v>33633.561283229443</v>
      </c>
    </row>
    <row r="6907" spans="1:3" x14ac:dyDescent="0.35">
      <c r="A6907" t="s">
        <v>144</v>
      </c>
      <c r="B6907">
        <v>1999</v>
      </c>
      <c r="C6907">
        <v>32684.690466338365</v>
      </c>
    </row>
    <row r="6908" spans="1:3" x14ac:dyDescent="0.35">
      <c r="A6908" t="s">
        <v>144</v>
      </c>
      <c r="B6908">
        <v>2000</v>
      </c>
      <c r="C6908">
        <v>28473.836085786628</v>
      </c>
    </row>
    <row r="6909" spans="1:3" x14ac:dyDescent="0.35">
      <c r="A6909" t="s">
        <v>144</v>
      </c>
      <c r="B6909">
        <v>2001</v>
      </c>
      <c r="C6909">
        <v>27976.022700854275</v>
      </c>
    </row>
    <row r="6910" spans="1:3" x14ac:dyDescent="0.35">
      <c r="A6910" t="s">
        <v>144</v>
      </c>
      <c r="B6910">
        <v>2002</v>
      </c>
      <c r="C6910">
        <v>30722.709467365985</v>
      </c>
    </row>
    <row r="6911" spans="1:3" x14ac:dyDescent="0.35">
      <c r="A6911" t="s">
        <v>144</v>
      </c>
      <c r="B6911">
        <v>2003</v>
      </c>
      <c r="C6911">
        <v>38655.763912051334</v>
      </c>
    </row>
    <row r="6912" spans="1:3" x14ac:dyDescent="0.35">
      <c r="A6912" t="s">
        <v>144</v>
      </c>
      <c r="B6912">
        <v>2004</v>
      </c>
      <c r="C6912">
        <v>44604.518562434481</v>
      </c>
    </row>
    <row r="6913" spans="1:3" x14ac:dyDescent="0.35">
      <c r="A6913" t="s">
        <v>144</v>
      </c>
      <c r="B6913">
        <v>2005</v>
      </c>
      <c r="C6913">
        <v>44459.732673824728</v>
      </c>
    </row>
    <row r="6914" spans="1:3" x14ac:dyDescent="0.35">
      <c r="A6914" t="s">
        <v>144</v>
      </c>
      <c r="B6914">
        <v>2006</v>
      </c>
      <c r="C6914">
        <v>45832.871454943132</v>
      </c>
    </row>
    <row r="6915" spans="1:3" x14ac:dyDescent="0.35">
      <c r="A6915" t="s">
        <v>144</v>
      </c>
      <c r="B6915">
        <v>2007</v>
      </c>
      <c r="C6915">
        <v>50751.53984394615</v>
      </c>
    </row>
    <row r="6916" spans="1:3" x14ac:dyDescent="0.35">
      <c r="A6916" t="s">
        <v>144</v>
      </c>
      <c r="B6916">
        <v>2008</v>
      </c>
      <c r="C6916">
        <v>55590.086700365326</v>
      </c>
    </row>
    <row r="6917" spans="1:3" x14ac:dyDescent="0.35">
      <c r="A6917" t="s">
        <v>144</v>
      </c>
      <c r="B6917">
        <v>2009</v>
      </c>
      <c r="C6917">
        <v>56668.596297868695</v>
      </c>
    </row>
    <row r="6918" spans="1:3" x14ac:dyDescent="0.35">
      <c r="A6918" t="s">
        <v>144</v>
      </c>
      <c r="B6918">
        <v>2010</v>
      </c>
      <c r="C6918">
        <v>52094.842067068545</v>
      </c>
    </row>
    <row r="6919" spans="1:3" x14ac:dyDescent="0.35">
      <c r="A6919" t="s">
        <v>144</v>
      </c>
      <c r="B6919">
        <v>2011</v>
      </c>
      <c r="C6919">
        <v>54191.767779018664</v>
      </c>
    </row>
    <row r="6920" spans="1:3" x14ac:dyDescent="0.35">
      <c r="A6920" t="s">
        <v>144</v>
      </c>
      <c r="B6920">
        <v>2012</v>
      </c>
      <c r="C6920">
        <v>50213.660859769203</v>
      </c>
    </row>
    <row r="6921" spans="1:3" x14ac:dyDescent="0.35">
      <c r="A6921" t="s">
        <v>144</v>
      </c>
      <c r="B6921">
        <v>2013</v>
      </c>
      <c r="C6921">
        <v>52016.233686556516</v>
      </c>
    </row>
    <row r="6922" spans="1:3" x14ac:dyDescent="0.35">
      <c r="A6922" t="s">
        <v>144</v>
      </c>
      <c r="B6922">
        <v>2014</v>
      </c>
      <c r="C6922">
        <v>53205.517147467704</v>
      </c>
    </row>
    <row r="6923" spans="1:3" x14ac:dyDescent="0.35">
      <c r="A6923" t="s">
        <v>144</v>
      </c>
      <c r="B6923">
        <v>2015</v>
      </c>
      <c r="C6923">
        <v>45667.911367574059</v>
      </c>
    </row>
    <row r="6924" spans="1:3" x14ac:dyDescent="0.35">
      <c r="A6924" t="s">
        <v>144</v>
      </c>
      <c r="B6924">
        <v>2016</v>
      </c>
      <c r="C6924">
        <v>45744.984944359356</v>
      </c>
    </row>
    <row r="6925" spans="1:3" x14ac:dyDescent="0.35">
      <c r="A6925" t="s">
        <v>144</v>
      </c>
      <c r="B6925">
        <v>2017</v>
      </c>
      <c r="C6925">
        <v>47953.83626000052</v>
      </c>
    </row>
    <row r="6926" spans="1:3" x14ac:dyDescent="0.35">
      <c r="A6926" t="s">
        <v>144</v>
      </c>
      <c r="B6926">
        <v>2018</v>
      </c>
      <c r="C6926">
        <v>51349.083040783422</v>
      </c>
    </row>
    <row r="6927" spans="1:3" x14ac:dyDescent="0.35">
      <c r="A6927" t="s">
        <v>144</v>
      </c>
      <c r="B6927">
        <v>2019</v>
      </c>
      <c r="C6927">
        <v>50450.238258822603</v>
      </c>
    </row>
    <row r="6928" spans="1:3" x14ac:dyDescent="0.35">
      <c r="A6928" t="s">
        <v>144</v>
      </c>
      <c r="B6928">
        <v>2020</v>
      </c>
      <c r="C6928">
        <v>53532.447234240477</v>
      </c>
    </row>
    <row r="6929" spans="1:3" x14ac:dyDescent="0.35">
      <c r="A6929" t="s">
        <v>144</v>
      </c>
      <c r="B6929">
        <v>2021</v>
      </c>
      <c r="C6929">
        <v>58741.980240309138</v>
      </c>
    </row>
    <row r="6930" spans="1:3" x14ac:dyDescent="0.35">
      <c r="A6930" t="s">
        <v>144</v>
      </c>
      <c r="B6930">
        <v>2022</v>
      </c>
      <c r="C6930">
        <v>54743.786501945797</v>
      </c>
    </row>
    <row r="6931" spans="1:3" x14ac:dyDescent="0.35">
      <c r="A6931" t="s">
        <v>144</v>
      </c>
      <c r="B6931">
        <v>2023</v>
      </c>
      <c r="C6931">
        <v>59541.138239216802</v>
      </c>
    </row>
    <row r="6932" spans="1:3" x14ac:dyDescent="0.35">
      <c r="A6932" t="s">
        <v>144</v>
      </c>
      <c r="B6932">
        <v>2024</v>
      </c>
      <c r="C6932">
        <v>63574.699212500054</v>
      </c>
    </row>
    <row r="6933" spans="1:3" x14ac:dyDescent="0.35">
      <c r="A6933" t="s">
        <v>144</v>
      </c>
      <c r="B6933">
        <v>2025</v>
      </c>
      <c r="C6933">
        <v>68007.580714301832</v>
      </c>
    </row>
    <row r="6934" spans="1:3" x14ac:dyDescent="0.35">
      <c r="A6934" t="s">
        <v>145</v>
      </c>
      <c r="B6934">
        <v>1953</v>
      </c>
      <c r="C6934">
        <v>1381.7842849087187</v>
      </c>
    </row>
    <row r="6935" spans="1:3" x14ac:dyDescent="0.35">
      <c r="A6935" t="s">
        <v>145</v>
      </c>
      <c r="B6935">
        <v>1954</v>
      </c>
      <c r="C6935">
        <v>1402.2907141448127</v>
      </c>
    </row>
    <row r="6936" spans="1:3" x14ac:dyDescent="0.35">
      <c r="A6936" t="s">
        <v>145</v>
      </c>
      <c r="B6936">
        <v>1955</v>
      </c>
      <c r="C6936">
        <v>1647.0589439628709</v>
      </c>
    </row>
    <row r="6937" spans="1:3" x14ac:dyDescent="0.35">
      <c r="A6937" t="s">
        <v>145</v>
      </c>
      <c r="B6937">
        <v>1956</v>
      </c>
      <c r="C6937">
        <v>1608.6639275208224</v>
      </c>
    </row>
    <row r="6938" spans="1:3" x14ac:dyDescent="0.35">
      <c r="A6938" t="s">
        <v>145</v>
      </c>
      <c r="B6938">
        <v>1957</v>
      </c>
      <c r="C6938">
        <v>1999.1586970166557</v>
      </c>
    </row>
    <row r="6939" spans="1:3" x14ac:dyDescent="0.35">
      <c r="A6939" t="s">
        <v>145</v>
      </c>
      <c r="B6939">
        <v>1958</v>
      </c>
      <c r="C6939">
        <v>1528.819745601563</v>
      </c>
    </row>
    <row r="6940" spans="1:3" x14ac:dyDescent="0.35">
      <c r="A6940" t="s">
        <v>145</v>
      </c>
      <c r="B6940">
        <v>1959</v>
      </c>
      <c r="C6940">
        <v>2473.2935193754511</v>
      </c>
    </row>
    <row r="6941" spans="1:3" x14ac:dyDescent="0.35">
      <c r="A6941" t="s">
        <v>145</v>
      </c>
      <c r="B6941">
        <v>1960</v>
      </c>
      <c r="C6941">
        <v>2702.6164812156853</v>
      </c>
    </row>
    <row r="6942" spans="1:3" x14ac:dyDescent="0.35">
      <c r="A6942" t="s">
        <v>145</v>
      </c>
      <c r="B6942">
        <v>1961</v>
      </c>
      <c r="C6942">
        <v>3060.5063596121968</v>
      </c>
    </row>
    <row r="6943" spans="1:3" x14ac:dyDescent="0.35">
      <c r="A6943" t="s">
        <v>145</v>
      </c>
      <c r="B6943">
        <v>1962</v>
      </c>
      <c r="C6943">
        <v>4036.5647041369389</v>
      </c>
    </row>
    <row r="6944" spans="1:3" x14ac:dyDescent="0.35">
      <c r="A6944" t="s">
        <v>145</v>
      </c>
      <c r="B6944">
        <v>1963</v>
      </c>
      <c r="C6944">
        <v>4666.8956930511504</v>
      </c>
    </row>
    <row r="6945" spans="1:3" x14ac:dyDescent="0.35">
      <c r="A6945" t="s">
        <v>145</v>
      </c>
      <c r="B6945">
        <v>1964</v>
      </c>
      <c r="C6945">
        <v>4579.9898215510229</v>
      </c>
    </row>
    <row r="6946" spans="1:3" x14ac:dyDescent="0.35">
      <c r="A6946" t="s">
        <v>145</v>
      </c>
      <c r="B6946">
        <v>1965</v>
      </c>
      <c r="C6946">
        <v>4664.6050796747641</v>
      </c>
    </row>
    <row r="6947" spans="1:3" x14ac:dyDescent="0.35">
      <c r="A6947" t="s">
        <v>145</v>
      </c>
      <c r="B6947">
        <v>1966</v>
      </c>
      <c r="C6947">
        <v>4744.3184251730363</v>
      </c>
    </row>
    <row r="6948" spans="1:3" x14ac:dyDescent="0.35">
      <c r="A6948" t="s">
        <v>145</v>
      </c>
      <c r="B6948">
        <v>1967</v>
      </c>
      <c r="C6948">
        <v>5014.6108035867182</v>
      </c>
    </row>
    <row r="6949" spans="1:3" x14ac:dyDescent="0.35">
      <c r="A6949" t="s">
        <v>145</v>
      </c>
      <c r="B6949">
        <v>1968</v>
      </c>
      <c r="C6949">
        <v>4523.0543354675456</v>
      </c>
    </row>
    <row r="6950" spans="1:3" x14ac:dyDescent="0.35">
      <c r="A6950" t="s">
        <v>145</v>
      </c>
      <c r="B6950">
        <v>1969</v>
      </c>
      <c r="C6950">
        <v>5126.6538916600139</v>
      </c>
    </row>
    <row r="6951" spans="1:3" x14ac:dyDescent="0.35">
      <c r="A6951" t="s">
        <v>145</v>
      </c>
      <c r="B6951">
        <v>1970</v>
      </c>
      <c r="C6951">
        <v>5778.3555730366879</v>
      </c>
    </row>
    <row r="6952" spans="1:3" x14ac:dyDescent="0.35">
      <c r="A6952" t="s">
        <v>145</v>
      </c>
      <c r="B6952">
        <v>1971</v>
      </c>
      <c r="C6952">
        <v>6798.3310312743733</v>
      </c>
    </row>
    <row r="6953" spans="1:3" x14ac:dyDescent="0.35">
      <c r="A6953" t="s">
        <v>145</v>
      </c>
      <c r="B6953">
        <v>1972</v>
      </c>
      <c r="C6953">
        <v>8438.7876266701496</v>
      </c>
    </row>
    <row r="6954" spans="1:3" x14ac:dyDescent="0.35">
      <c r="A6954" t="s">
        <v>145</v>
      </c>
      <c r="B6954">
        <v>1973</v>
      </c>
      <c r="C6954">
        <v>11185.834257960949</v>
      </c>
    </row>
    <row r="6955" spans="1:3" x14ac:dyDescent="0.35">
      <c r="A6955" t="s">
        <v>145</v>
      </c>
      <c r="B6955">
        <v>1974</v>
      </c>
      <c r="C6955">
        <v>12905.125699305423</v>
      </c>
    </row>
    <row r="6956" spans="1:3" x14ac:dyDescent="0.35">
      <c r="A6956" t="s">
        <v>145</v>
      </c>
      <c r="B6956">
        <v>1975</v>
      </c>
      <c r="C6956">
        <v>14314.807557486627</v>
      </c>
    </row>
    <row r="6957" spans="1:3" x14ac:dyDescent="0.35">
      <c r="A6957" t="s">
        <v>145</v>
      </c>
      <c r="B6957">
        <v>1976</v>
      </c>
      <c r="C6957">
        <v>14482.403828373584</v>
      </c>
    </row>
    <row r="6958" spans="1:3" x14ac:dyDescent="0.35">
      <c r="A6958" t="s">
        <v>145</v>
      </c>
      <c r="B6958">
        <v>1977</v>
      </c>
      <c r="C6958">
        <v>16213.40980403092</v>
      </c>
    </row>
    <row r="6959" spans="1:3" x14ac:dyDescent="0.35">
      <c r="A6959" t="s">
        <v>145</v>
      </c>
      <c r="B6959">
        <v>1978</v>
      </c>
      <c r="C6959">
        <v>20066.376348141661</v>
      </c>
    </row>
    <row r="6960" spans="1:3" x14ac:dyDescent="0.35">
      <c r="A6960" t="s">
        <v>145</v>
      </c>
      <c r="B6960">
        <v>1979</v>
      </c>
      <c r="C6960">
        <v>23215.063114215296</v>
      </c>
    </row>
    <row r="6961" spans="1:3" x14ac:dyDescent="0.35">
      <c r="A6961" t="s">
        <v>145</v>
      </c>
      <c r="B6961">
        <v>1980</v>
      </c>
      <c r="C6961">
        <v>25009.350127541329</v>
      </c>
    </row>
    <row r="6962" spans="1:3" x14ac:dyDescent="0.35">
      <c r="A6962" t="s">
        <v>145</v>
      </c>
      <c r="B6962">
        <v>1981</v>
      </c>
      <c r="C6962">
        <v>21638.004993819548</v>
      </c>
    </row>
    <row r="6963" spans="1:3" x14ac:dyDescent="0.35">
      <c r="A6963" t="s">
        <v>145</v>
      </c>
      <c r="B6963">
        <v>1982</v>
      </c>
      <c r="C6963">
        <v>20940.094018362848</v>
      </c>
    </row>
    <row r="6964" spans="1:3" x14ac:dyDescent="0.35">
      <c r="A6964" t="s">
        <v>145</v>
      </c>
      <c r="B6964">
        <v>1983</v>
      </c>
      <c r="C6964">
        <v>20731.705900151723</v>
      </c>
    </row>
    <row r="6965" spans="1:3" x14ac:dyDescent="0.35">
      <c r="A6965" t="s">
        <v>145</v>
      </c>
      <c r="B6965">
        <v>1984</v>
      </c>
      <c r="C6965">
        <v>18855.835234193521</v>
      </c>
    </row>
    <row r="6966" spans="1:3" x14ac:dyDescent="0.35">
      <c r="A6966" t="s">
        <v>145</v>
      </c>
      <c r="B6966">
        <v>1985</v>
      </c>
      <c r="C6966">
        <v>18665.574264491614</v>
      </c>
    </row>
    <row r="6967" spans="1:3" x14ac:dyDescent="0.35">
      <c r="A6967" t="s">
        <v>145</v>
      </c>
      <c r="B6967">
        <v>1986</v>
      </c>
      <c r="C6967">
        <v>25944.594045765087</v>
      </c>
    </row>
    <row r="6968" spans="1:3" x14ac:dyDescent="0.35">
      <c r="A6968" t="s">
        <v>145</v>
      </c>
      <c r="B6968">
        <v>1987</v>
      </c>
      <c r="C6968">
        <v>31982.61643613454</v>
      </c>
    </row>
    <row r="6969" spans="1:3" x14ac:dyDescent="0.35">
      <c r="A6969" t="s">
        <v>145</v>
      </c>
      <c r="B6969">
        <v>1988</v>
      </c>
      <c r="C6969">
        <v>32883.592699418608</v>
      </c>
    </row>
    <row r="6970" spans="1:3" x14ac:dyDescent="0.35">
      <c r="A6970" t="s">
        <v>145</v>
      </c>
      <c r="B6970">
        <v>1989</v>
      </c>
      <c r="C6970">
        <v>31485.040895241695</v>
      </c>
    </row>
    <row r="6971" spans="1:3" x14ac:dyDescent="0.35">
      <c r="A6971" t="s">
        <v>145</v>
      </c>
      <c r="B6971">
        <v>1990</v>
      </c>
      <c r="C6971">
        <v>39650.093949636146</v>
      </c>
    </row>
    <row r="6972" spans="1:3" x14ac:dyDescent="0.35">
      <c r="A6972" t="s">
        <v>145</v>
      </c>
      <c r="B6972">
        <v>1991</v>
      </c>
      <c r="C6972">
        <v>37024.379615747566</v>
      </c>
    </row>
    <row r="6973" spans="1:3" x14ac:dyDescent="0.35">
      <c r="A6973" t="s">
        <v>145</v>
      </c>
      <c r="B6973">
        <v>1992</v>
      </c>
      <c r="C6973">
        <v>39319.41864919605</v>
      </c>
    </row>
    <row r="6974" spans="1:3" x14ac:dyDescent="0.35">
      <c r="A6974" t="s">
        <v>145</v>
      </c>
      <c r="B6974">
        <v>1993</v>
      </c>
      <c r="C6974">
        <v>34868.22447184661</v>
      </c>
    </row>
    <row r="6975" spans="1:3" x14ac:dyDescent="0.35">
      <c r="A6975" t="s">
        <v>145</v>
      </c>
      <c r="B6975">
        <v>1994</v>
      </c>
      <c r="C6975">
        <v>34039.251428097959</v>
      </c>
    </row>
    <row r="6976" spans="1:3" x14ac:dyDescent="0.35">
      <c r="A6976" t="s">
        <v>145</v>
      </c>
      <c r="B6976">
        <v>1995</v>
      </c>
      <c r="C6976">
        <v>38563.185777735373</v>
      </c>
    </row>
    <row r="6977" spans="1:3" x14ac:dyDescent="0.35">
      <c r="A6977" t="s">
        <v>145</v>
      </c>
      <c r="B6977">
        <v>1996</v>
      </c>
      <c r="C6977">
        <v>36531.135729478556</v>
      </c>
    </row>
    <row r="6978" spans="1:3" x14ac:dyDescent="0.35">
      <c r="A6978" t="s">
        <v>145</v>
      </c>
      <c r="B6978">
        <v>1997</v>
      </c>
      <c r="C6978">
        <v>31122.83225094427</v>
      </c>
    </row>
    <row r="6979" spans="1:3" x14ac:dyDescent="0.35">
      <c r="A6979" t="s">
        <v>145</v>
      </c>
      <c r="B6979">
        <v>1998</v>
      </c>
      <c r="C6979">
        <v>31056.200101471364</v>
      </c>
    </row>
    <row r="6980" spans="1:3" x14ac:dyDescent="0.35">
      <c r="A6980" t="s">
        <v>145</v>
      </c>
      <c r="B6980">
        <v>1999</v>
      </c>
      <c r="C6980">
        <v>30559.15369766816</v>
      </c>
    </row>
    <row r="6981" spans="1:3" x14ac:dyDescent="0.35">
      <c r="A6981" t="s">
        <v>145</v>
      </c>
      <c r="B6981">
        <v>2000</v>
      </c>
      <c r="C6981">
        <v>26440.465752085602</v>
      </c>
    </row>
    <row r="6982" spans="1:3" x14ac:dyDescent="0.35">
      <c r="A6982" t="s">
        <v>145</v>
      </c>
      <c r="B6982">
        <v>2001</v>
      </c>
      <c r="C6982">
        <v>25718.269556248852</v>
      </c>
    </row>
    <row r="6983" spans="1:3" x14ac:dyDescent="0.35">
      <c r="A6983" t="s">
        <v>145</v>
      </c>
      <c r="B6983">
        <v>2002</v>
      </c>
      <c r="C6983">
        <v>27613.123352785442</v>
      </c>
    </row>
    <row r="6984" spans="1:3" x14ac:dyDescent="0.35">
      <c r="A6984" t="s">
        <v>145</v>
      </c>
      <c r="B6984">
        <v>2003</v>
      </c>
      <c r="C6984">
        <v>32918.257863559775</v>
      </c>
    </row>
    <row r="6985" spans="1:3" x14ac:dyDescent="0.35">
      <c r="A6985" t="s">
        <v>145</v>
      </c>
      <c r="B6985">
        <v>2004</v>
      </c>
      <c r="C6985">
        <v>35674.739289411482</v>
      </c>
    </row>
    <row r="6986" spans="1:3" x14ac:dyDescent="0.35">
      <c r="A6986" t="s">
        <v>145</v>
      </c>
      <c r="B6986">
        <v>2005</v>
      </c>
      <c r="C6986">
        <v>35668.473439769929</v>
      </c>
    </row>
    <row r="6987" spans="1:3" x14ac:dyDescent="0.35">
      <c r="A6987" t="s">
        <v>145</v>
      </c>
      <c r="B6987">
        <v>2006</v>
      </c>
      <c r="C6987">
        <v>35915.569373840852</v>
      </c>
    </row>
    <row r="6988" spans="1:3" x14ac:dyDescent="0.35">
      <c r="A6988" t="s">
        <v>145</v>
      </c>
      <c r="B6988">
        <v>2007</v>
      </c>
      <c r="C6988">
        <v>40163.939324879619</v>
      </c>
    </row>
    <row r="6989" spans="1:3" x14ac:dyDescent="0.35">
      <c r="A6989" t="s">
        <v>145</v>
      </c>
      <c r="B6989">
        <v>2008</v>
      </c>
      <c r="C6989">
        <v>45281.516418992243</v>
      </c>
    </row>
    <row r="6990" spans="1:3" x14ac:dyDescent="0.35">
      <c r="A6990" t="s">
        <v>145</v>
      </c>
      <c r="B6990">
        <v>2009</v>
      </c>
      <c r="C6990">
        <v>44708.128401246511</v>
      </c>
    </row>
    <row r="6991" spans="1:3" x14ac:dyDescent="0.35">
      <c r="A6991" t="s">
        <v>145</v>
      </c>
      <c r="B6991">
        <v>2010</v>
      </c>
      <c r="C6991">
        <v>43067.897143101116</v>
      </c>
    </row>
    <row r="6992" spans="1:3" x14ac:dyDescent="0.35">
      <c r="A6992" t="s">
        <v>145</v>
      </c>
      <c r="B6992">
        <v>2011</v>
      </c>
      <c r="C6992">
        <v>45222.375375671611</v>
      </c>
    </row>
    <row r="6993" spans="1:3" x14ac:dyDescent="0.35">
      <c r="A6993" t="s">
        <v>145</v>
      </c>
      <c r="B6993">
        <v>2012</v>
      </c>
      <c r="C6993">
        <v>43795.742628853135</v>
      </c>
    </row>
    <row r="6994" spans="1:3" x14ac:dyDescent="0.35">
      <c r="A6994" t="s">
        <v>145</v>
      </c>
      <c r="B6994">
        <v>2013</v>
      </c>
      <c r="C6994">
        <v>44255.214616999692</v>
      </c>
    </row>
    <row r="6995" spans="1:3" x14ac:dyDescent="0.35">
      <c r="A6995" t="s">
        <v>145</v>
      </c>
      <c r="B6995">
        <v>2014</v>
      </c>
      <c r="C6995">
        <v>44722.314292438015</v>
      </c>
    </row>
    <row r="6996" spans="1:3" x14ac:dyDescent="0.35">
      <c r="A6996" t="s">
        <v>145</v>
      </c>
      <c r="B6996">
        <v>2015</v>
      </c>
      <c r="C6996">
        <v>38187.112594345337</v>
      </c>
    </row>
    <row r="6997" spans="1:3" x14ac:dyDescent="0.35">
      <c r="A6997" t="s">
        <v>145</v>
      </c>
      <c r="B6997">
        <v>2016</v>
      </c>
      <c r="C6997">
        <v>39946.006981533887</v>
      </c>
    </row>
    <row r="6998" spans="1:3" x14ac:dyDescent="0.35">
      <c r="A6998" t="s">
        <v>145</v>
      </c>
      <c r="B6998">
        <v>2017</v>
      </c>
      <c r="C6998">
        <v>42570.391449182811</v>
      </c>
    </row>
    <row r="6999" spans="1:3" x14ac:dyDescent="0.35">
      <c r="A6999" t="s">
        <v>145</v>
      </c>
      <c r="B6999">
        <v>2018</v>
      </c>
      <c r="C6999">
        <v>46522.788854934101</v>
      </c>
    </row>
    <row r="7000" spans="1:3" x14ac:dyDescent="0.35">
      <c r="A7000" t="s">
        <v>145</v>
      </c>
      <c r="B7000">
        <v>2019</v>
      </c>
      <c r="C7000">
        <v>49075.254886901064</v>
      </c>
    </row>
    <row r="7001" spans="1:3" x14ac:dyDescent="0.35">
      <c r="A7001" t="s">
        <v>145</v>
      </c>
      <c r="B7001">
        <v>2020</v>
      </c>
      <c r="C7001">
        <v>53427.936290271609</v>
      </c>
    </row>
    <row r="7002" spans="1:3" x14ac:dyDescent="0.35">
      <c r="A7002" t="s">
        <v>145</v>
      </c>
      <c r="B7002">
        <v>2021</v>
      </c>
      <c r="C7002">
        <v>56520.20256782855</v>
      </c>
    </row>
    <row r="7003" spans="1:3" x14ac:dyDescent="0.35">
      <c r="A7003" t="s">
        <v>145</v>
      </c>
      <c r="B7003">
        <v>2022</v>
      </c>
      <c r="C7003">
        <v>56126.481485759032</v>
      </c>
    </row>
    <row r="7004" spans="1:3" x14ac:dyDescent="0.35">
      <c r="A7004" t="s">
        <v>145</v>
      </c>
      <c r="B7004">
        <v>2023</v>
      </c>
      <c r="C7004">
        <v>68584.873364291474</v>
      </c>
    </row>
    <row r="7005" spans="1:3" x14ac:dyDescent="0.35">
      <c r="A7005" t="s">
        <v>145</v>
      </c>
      <c r="B7005">
        <v>2024</v>
      </c>
      <c r="C7005">
        <v>86148.285078515706</v>
      </c>
    </row>
    <row r="7006" spans="1:3" x14ac:dyDescent="0.35">
      <c r="A7006" t="s">
        <v>145</v>
      </c>
      <c r="B7006">
        <v>2025</v>
      </c>
      <c r="C7006">
        <v>113585.94860456197</v>
      </c>
    </row>
    <row r="7007" spans="1:3" x14ac:dyDescent="0.35">
      <c r="A7007" t="s">
        <v>146</v>
      </c>
      <c r="B7007">
        <v>1949</v>
      </c>
      <c r="C7007">
        <v>324.73086164999114</v>
      </c>
    </row>
    <row r="7008" spans="1:3" x14ac:dyDescent="0.35">
      <c r="A7008" t="s">
        <v>146</v>
      </c>
      <c r="B7008">
        <v>1950</v>
      </c>
      <c r="C7008">
        <v>131.39392507547655</v>
      </c>
    </row>
    <row r="7009" spans="1:3" x14ac:dyDescent="0.35">
      <c r="A7009" t="s">
        <v>146</v>
      </c>
      <c r="B7009">
        <v>1951</v>
      </c>
      <c r="C7009">
        <v>174.32866200366649</v>
      </c>
    </row>
    <row r="7010" spans="1:3" x14ac:dyDescent="0.35">
      <c r="A7010" t="s">
        <v>146</v>
      </c>
      <c r="B7010">
        <v>1952</v>
      </c>
      <c r="C7010">
        <v>177.00924346267519</v>
      </c>
    </row>
    <row r="7011" spans="1:3" x14ac:dyDescent="0.35">
      <c r="A7011" t="s">
        <v>146</v>
      </c>
      <c r="B7011">
        <v>1953</v>
      </c>
      <c r="C7011">
        <v>105.04902322247968</v>
      </c>
    </row>
    <row r="7012" spans="1:3" x14ac:dyDescent="0.35">
      <c r="A7012" t="s">
        <v>146</v>
      </c>
      <c r="B7012">
        <v>1954</v>
      </c>
      <c r="C7012">
        <v>114.26364689579974</v>
      </c>
    </row>
    <row r="7013" spans="1:3" x14ac:dyDescent="0.35">
      <c r="A7013" t="s">
        <v>146</v>
      </c>
      <c r="B7013">
        <v>1955</v>
      </c>
      <c r="C7013">
        <v>122.89589059766931</v>
      </c>
    </row>
    <row r="7014" spans="1:3" x14ac:dyDescent="0.35">
      <c r="A7014" t="s">
        <v>146</v>
      </c>
      <c r="B7014">
        <v>1956</v>
      </c>
      <c r="C7014">
        <v>164.58054110538151</v>
      </c>
    </row>
    <row r="7015" spans="1:3" x14ac:dyDescent="0.35">
      <c r="A7015" t="s">
        <v>146</v>
      </c>
      <c r="B7015">
        <v>1957</v>
      </c>
      <c r="C7015">
        <v>149.24695031916585</v>
      </c>
    </row>
    <row r="7016" spans="1:3" x14ac:dyDescent="0.35">
      <c r="A7016" t="s">
        <v>146</v>
      </c>
      <c r="B7016">
        <v>1958</v>
      </c>
      <c r="C7016">
        <v>149.01978601122192</v>
      </c>
    </row>
    <row r="7017" spans="1:3" x14ac:dyDescent="0.35">
      <c r="A7017" t="s">
        <v>146</v>
      </c>
      <c r="B7017">
        <v>1959</v>
      </c>
      <c r="C7017">
        <v>157.83376115944662</v>
      </c>
    </row>
    <row r="7018" spans="1:3" x14ac:dyDescent="0.35">
      <c r="A7018" t="s">
        <v>146</v>
      </c>
      <c r="B7018">
        <v>1960</v>
      </c>
      <c r="C7018">
        <v>170.3277980963631</v>
      </c>
    </row>
    <row r="7019" spans="1:3" x14ac:dyDescent="0.35">
      <c r="A7019" t="s">
        <v>146</v>
      </c>
      <c r="B7019">
        <v>1961</v>
      </c>
      <c r="C7019">
        <v>167.76236580146568</v>
      </c>
    </row>
    <row r="7020" spans="1:3" x14ac:dyDescent="0.35">
      <c r="A7020" t="s">
        <v>146</v>
      </c>
      <c r="B7020">
        <v>1962</v>
      </c>
      <c r="C7020">
        <v>170.03422265282919</v>
      </c>
    </row>
    <row r="7021" spans="1:3" x14ac:dyDescent="0.35">
      <c r="A7021" t="s">
        <v>146</v>
      </c>
      <c r="B7021">
        <v>1963</v>
      </c>
      <c r="C7021">
        <v>179.49571279777285</v>
      </c>
    </row>
    <row r="7022" spans="1:3" x14ac:dyDescent="0.35">
      <c r="A7022" t="s">
        <v>146</v>
      </c>
      <c r="B7022">
        <v>1964</v>
      </c>
      <c r="C7022">
        <v>188.20755306328522</v>
      </c>
    </row>
    <row r="7023" spans="1:3" x14ac:dyDescent="0.35">
      <c r="A7023" t="s">
        <v>146</v>
      </c>
      <c r="B7023">
        <v>1965</v>
      </c>
      <c r="C7023">
        <v>209.67479961063643</v>
      </c>
    </row>
    <row r="7024" spans="1:3" x14ac:dyDescent="0.35">
      <c r="A7024" t="s">
        <v>146</v>
      </c>
      <c r="B7024">
        <v>1966</v>
      </c>
      <c r="C7024">
        <v>238.97929489749677</v>
      </c>
    </row>
    <row r="7025" spans="1:3" x14ac:dyDescent="0.35">
      <c r="A7025" t="s">
        <v>146</v>
      </c>
      <c r="B7025">
        <v>1967</v>
      </c>
      <c r="C7025">
        <v>313.03561632010508</v>
      </c>
    </row>
    <row r="7026" spans="1:3" x14ac:dyDescent="0.35">
      <c r="A7026" t="s">
        <v>146</v>
      </c>
      <c r="B7026">
        <v>1968</v>
      </c>
      <c r="C7026">
        <v>366.77188267752217</v>
      </c>
    </row>
    <row r="7027" spans="1:3" x14ac:dyDescent="0.35">
      <c r="A7027" t="s">
        <v>146</v>
      </c>
      <c r="B7027">
        <v>1969</v>
      </c>
      <c r="C7027">
        <v>425.40358991425597</v>
      </c>
    </row>
    <row r="7028" spans="1:3" x14ac:dyDescent="0.35">
      <c r="A7028" t="s">
        <v>146</v>
      </c>
      <c r="B7028">
        <v>1970</v>
      </c>
      <c r="C7028">
        <v>473.59699049648407</v>
      </c>
    </row>
    <row r="7029" spans="1:3" x14ac:dyDescent="0.35">
      <c r="A7029" t="s">
        <v>146</v>
      </c>
      <c r="B7029">
        <v>1971</v>
      </c>
      <c r="C7029">
        <v>515.99764201037931</v>
      </c>
    </row>
    <row r="7030" spans="1:3" x14ac:dyDescent="0.35">
      <c r="A7030" t="s">
        <v>146</v>
      </c>
      <c r="B7030">
        <v>1972</v>
      </c>
      <c r="C7030">
        <v>573.6921014970128</v>
      </c>
    </row>
    <row r="7031" spans="1:3" x14ac:dyDescent="0.35">
      <c r="A7031" t="s">
        <v>146</v>
      </c>
      <c r="B7031">
        <v>1973</v>
      </c>
      <c r="C7031">
        <v>674.80245223772442</v>
      </c>
    </row>
    <row r="7032" spans="1:3" x14ac:dyDescent="0.35">
      <c r="A7032" t="s">
        <v>146</v>
      </c>
      <c r="B7032">
        <v>1974</v>
      </c>
      <c r="C7032">
        <v>1049.9557029599509</v>
      </c>
    </row>
    <row r="7033" spans="1:3" x14ac:dyDescent="0.35">
      <c r="A7033" t="s">
        <v>146</v>
      </c>
      <c r="B7033">
        <v>1975</v>
      </c>
      <c r="C7033">
        <v>1433.2173448960305</v>
      </c>
    </row>
    <row r="7034" spans="1:3" x14ac:dyDescent="0.35">
      <c r="A7034" t="s">
        <v>146</v>
      </c>
      <c r="B7034">
        <v>1976</v>
      </c>
      <c r="C7034">
        <v>1559.8872797850106</v>
      </c>
    </row>
    <row r="7035" spans="1:3" x14ac:dyDescent="0.35">
      <c r="A7035" t="s">
        <v>146</v>
      </c>
      <c r="B7035">
        <v>1977</v>
      </c>
      <c r="C7035">
        <v>1838.775321431875</v>
      </c>
    </row>
    <row r="7036" spans="1:3" x14ac:dyDescent="0.35">
      <c r="A7036" t="s">
        <v>146</v>
      </c>
      <c r="B7036">
        <v>1978</v>
      </c>
      <c r="C7036">
        <v>2118.9294954421953</v>
      </c>
    </row>
    <row r="7037" spans="1:3" x14ac:dyDescent="0.35">
      <c r="A7037" t="s">
        <v>146</v>
      </c>
      <c r="B7037">
        <v>1979</v>
      </c>
      <c r="C7037">
        <v>2424.2619391519547</v>
      </c>
    </row>
    <row r="7038" spans="1:3" x14ac:dyDescent="0.35">
      <c r="A7038" t="s">
        <v>146</v>
      </c>
      <c r="B7038">
        <v>1980</v>
      </c>
      <c r="C7038">
        <v>2275.5802889651145</v>
      </c>
    </row>
    <row r="7039" spans="1:3" x14ac:dyDescent="0.35">
      <c r="A7039" t="s">
        <v>146</v>
      </c>
      <c r="B7039">
        <v>1981</v>
      </c>
      <c r="C7039">
        <v>2578.4006838573987</v>
      </c>
    </row>
    <row r="7040" spans="1:3" x14ac:dyDescent="0.35">
      <c r="A7040" t="s">
        <v>146</v>
      </c>
      <c r="B7040">
        <v>1982</v>
      </c>
      <c r="C7040">
        <v>2638.6529760720641</v>
      </c>
    </row>
    <row r="7041" spans="1:3" x14ac:dyDescent="0.35">
      <c r="A7041" t="s">
        <v>146</v>
      </c>
      <c r="B7041">
        <v>1983</v>
      </c>
      <c r="C7041">
        <v>2195.4635856401046</v>
      </c>
    </row>
    <row r="7042" spans="1:3" x14ac:dyDescent="0.35">
      <c r="A7042" t="s">
        <v>146</v>
      </c>
      <c r="B7042">
        <v>1984</v>
      </c>
      <c r="C7042">
        <v>1994.2864052722273</v>
      </c>
    </row>
    <row r="7043" spans="1:3" x14ac:dyDescent="0.35">
      <c r="A7043" t="s">
        <v>146</v>
      </c>
      <c r="B7043">
        <v>1985</v>
      </c>
      <c r="C7043">
        <v>1927.0830763461606</v>
      </c>
    </row>
    <row r="7044" spans="1:3" x14ac:dyDescent="0.35">
      <c r="A7044" t="s">
        <v>146</v>
      </c>
      <c r="B7044">
        <v>1986</v>
      </c>
      <c r="C7044">
        <v>1998.8169511907167</v>
      </c>
    </row>
    <row r="7045" spans="1:3" x14ac:dyDescent="0.35">
      <c r="A7045" t="s">
        <v>146</v>
      </c>
      <c r="B7045">
        <v>1987</v>
      </c>
      <c r="C7045">
        <v>2399.2250500069194</v>
      </c>
    </row>
    <row r="7046" spans="1:3" x14ac:dyDescent="0.35">
      <c r="A7046" t="s">
        <v>146</v>
      </c>
      <c r="B7046">
        <v>1988</v>
      </c>
      <c r="C7046">
        <v>2749.5568291546365</v>
      </c>
    </row>
    <row r="7047" spans="1:3" x14ac:dyDescent="0.35">
      <c r="A7047" t="s">
        <v>146</v>
      </c>
      <c r="B7047">
        <v>1989</v>
      </c>
      <c r="C7047">
        <v>2560.254613506097</v>
      </c>
    </row>
    <row r="7048" spans="1:3" x14ac:dyDescent="0.35">
      <c r="A7048" t="s">
        <v>146</v>
      </c>
      <c r="B7048">
        <v>1990</v>
      </c>
      <c r="C7048">
        <v>3193.3764840678346</v>
      </c>
    </row>
    <row r="7049" spans="1:3" x14ac:dyDescent="0.35">
      <c r="A7049" t="s">
        <v>146</v>
      </c>
      <c r="B7049">
        <v>1991</v>
      </c>
      <c r="C7049">
        <v>3146.8990349561973</v>
      </c>
    </row>
    <row r="7050" spans="1:3" x14ac:dyDescent="0.35">
      <c r="A7050" t="s">
        <v>146</v>
      </c>
      <c r="B7050">
        <v>1992</v>
      </c>
      <c r="C7050">
        <v>3623.0529149521117</v>
      </c>
    </row>
    <row r="7051" spans="1:3" x14ac:dyDescent="0.35">
      <c r="A7051" t="s">
        <v>146</v>
      </c>
      <c r="B7051">
        <v>1993</v>
      </c>
      <c r="C7051">
        <v>3364.4133297660451</v>
      </c>
    </row>
    <row r="7052" spans="1:3" x14ac:dyDescent="0.35">
      <c r="A7052" t="s">
        <v>146</v>
      </c>
      <c r="B7052">
        <v>1994</v>
      </c>
      <c r="C7052">
        <v>3587.244914441259</v>
      </c>
    </row>
    <row r="7053" spans="1:3" x14ac:dyDescent="0.35">
      <c r="A7053" t="s">
        <v>146</v>
      </c>
      <c r="B7053">
        <v>1995</v>
      </c>
      <c r="C7053">
        <v>4179.9132469725428</v>
      </c>
    </row>
    <row r="7054" spans="1:3" x14ac:dyDescent="0.35">
      <c r="A7054" t="s">
        <v>146</v>
      </c>
      <c r="B7054">
        <v>1996</v>
      </c>
      <c r="C7054">
        <v>4613.1675766579801</v>
      </c>
    </row>
    <row r="7055" spans="1:3" x14ac:dyDescent="0.35">
      <c r="A7055" t="s">
        <v>146</v>
      </c>
      <c r="B7055">
        <v>1997</v>
      </c>
      <c r="C7055">
        <v>4573.516492292948</v>
      </c>
    </row>
    <row r="7056" spans="1:3" x14ac:dyDescent="0.35">
      <c r="A7056" t="s">
        <v>146</v>
      </c>
      <c r="B7056">
        <v>1998</v>
      </c>
      <c r="C7056">
        <v>4824.2571688823809</v>
      </c>
    </row>
    <row r="7057" spans="1:3" x14ac:dyDescent="0.35">
      <c r="A7057" t="s">
        <v>146</v>
      </c>
      <c r="B7057">
        <v>1999</v>
      </c>
      <c r="C7057">
        <v>5012.285642298285</v>
      </c>
    </row>
    <row r="7058" spans="1:3" x14ac:dyDescent="0.35">
      <c r="A7058" t="s">
        <v>146</v>
      </c>
      <c r="B7058">
        <v>2000</v>
      </c>
      <c r="C7058">
        <v>4564.5224462390661</v>
      </c>
    </row>
    <row r="7059" spans="1:3" x14ac:dyDescent="0.35">
      <c r="A7059" t="s">
        <v>146</v>
      </c>
      <c r="B7059">
        <v>2001</v>
      </c>
      <c r="C7059">
        <v>4431.9779356498502</v>
      </c>
    </row>
    <row r="7060" spans="1:3" x14ac:dyDescent="0.35">
      <c r="A7060" t="s">
        <v>146</v>
      </c>
      <c r="B7060">
        <v>2002</v>
      </c>
      <c r="C7060">
        <v>4756.5195113333875</v>
      </c>
    </row>
    <row r="7061" spans="1:3" x14ac:dyDescent="0.35">
      <c r="A7061" t="s">
        <v>146</v>
      </c>
      <c r="B7061">
        <v>2003</v>
      </c>
      <c r="C7061">
        <v>5046.8983216864408</v>
      </c>
    </row>
    <row r="7062" spans="1:3" x14ac:dyDescent="0.35">
      <c r="A7062" t="s">
        <v>146</v>
      </c>
      <c r="B7062">
        <v>2004</v>
      </c>
      <c r="C7062">
        <v>6278.7213332817764</v>
      </c>
    </row>
    <row r="7063" spans="1:3" x14ac:dyDescent="0.35">
      <c r="A7063" t="s">
        <v>146</v>
      </c>
      <c r="B7063">
        <v>2005</v>
      </c>
      <c r="C7063">
        <v>7031.2249923733089</v>
      </c>
    </row>
    <row r="7064" spans="1:3" x14ac:dyDescent="0.35">
      <c r="A7064" t="s">
        <v>146</v>
      </c>
      <c r="B7064">
        <v>2006</v>
      </c>
      <c r="C7064">
        <v>7613.9512658822841</v>
      </c>
    </row>
    <row r="7065" spans="1:3" x14ac:dyDescent="0.35">
      <c r="A7065" t="s">
        <v>146</v>
      </c>
      <c r="B7065">
        <v>2007</v>
      </c>
      <c r="C7065">
        <v>8544.3823832942035</v>
      </c>
    </row>
    <row r="7066" spans="1:3" x14ac:dyDescent="0.35">
      <c r="A7066" t="s">
        <v>146</v>
      </c>
      <c r="B7066">
        <v>2008</v>
      </c>
      <c r="C7066">
        <v>10616.942502265638</v>
      </c>
    </row>
    <row r="7067" spans="1:3" x14ac:dyDescent="0.35">
      <c r="A7067" t="s">
        <v>146</v>
      </c>
      <c r="B7067">
        <v>2009</v>
      </c>
      <c r="C7067">
        <v>10684.172829804695</v>
      </c>
    </row>
    <row r="7068" spans="1:3" x14ac:dyDescent="0.35">
      <c r="A7068" t="s">
        <v>146</v>
      </c>
      <c r="B7068">
        <v>2010</v>
      </c>
      <c r="C7068">
        <v>8171.5849616668766</v>
      </c>
    </row>
    <row r="7069" spans="1:3" x14ac:dyDescent="0.35">
      <c r="A7069" t="s">
        <v>146</v>
      </c>
      <c r="B7069">
        <v>2011</v>
      </c>
      <c r="C7069">
        <v>7137.9465369650443</v>
      </c>
    </row>
    <row r="7070" spans="1:3" x14ac:dyDescent="0.35">
      <c r="A7070" t="s">
        <v>146</v>
      </c>
      <c r="B7070">
        <v>2012</v>
      </c>
      <c r="C7070">
        <v>5914.6531298437512</v>
      </c>
    </row>
    <row r="7071" spans="1:3" x14ac:dyDescent="0.35">
      <c r="A7071" t="s">
        <v>146</v>
      </c>
      <c r="B7071">
        <v>2013</v>
      </c>
      <c r="C7071">
        <v>5656.7894147655516</v>
      </c>
    </row>
    <row r="7072" spans="1:3" x14ac:dyDescent="0.35">
      <c r="A7072" t="s">
        <v>146</v>
      </c>
      <c r="B7072">
        <v>2014</v>
      </c>
      <c r="C7072">
        <v>5538.6526198822539</v>
      </c>
    </row>
    <row r="7073" spans="1:3" x14ac:dyDescent="0.35">
      <c r="A7073" t="s">
        <v>146</v>
      </c>
      <c r="B7073">
        <v>2015</v>
      </c>
      <c r="C7073">
        <v>4820.2787533203154</v>
      </c>
    </row>
    <row r="7074" spans="1:3" x14ac:dyDescent="0.35">
      <c r="A7074" t="s">
        <v>146</v>
      </c>
      <c r="B7074">
        <v>2016</v>
      </c>
      <c r="C7074">
        <v>4968.0025510507339</v>
      </c>
    </row>
    <row r="7075" spans="1:3" x14ac:dyDescent="0.35">
      <c r="A7075" t="s">
        <v>146</v>
      </c>
      <c r="B7075">
        <v>2017</v>
      </c>
      <c r="C7075">
        <v>5122.9911671765258</v>
      </c>
    </row>
    <row r="7076" spans="1:3" x14ac:dyDescent="0.35">
      <c r="A7076" t="s">
        <v>146</v>
      </c>
      <c r="B7076">
        <v>2018</v>
      </c>
      <c r="C7076">
        <v>5760.2237170195076</v>
      </c>
    </row>
    <row r="7077" spans="1:3" x14ac:dyDescent="0.35">
      <c r="A7077" t="s">
        <v>146</v>
      </c>
      <c r="B7077">
        <v>2019</v>
      </c>
      <c r="C7077">
        <v>5382.6573380391164</v>
      </c>
    </row>
    <row r="7078" spans="1:3" x14ac:dyDescent="0.35">
      <c r="A7078" t="s">
        <v>146</v>
      </c>
      <c r="B7078">
        <v>2020</v>
      </c>
      <c r="C7078">
        <v>5785.1090722178151</v>
      </c>
    </row>
    <row r="7079" spans="1:3" x14ac:dyDescent="0.35">
      <c r="A7079" t="s">
        <v>146</v>
      </c>
      <c r="B7079">
        <v>2021</v>
      </c>
      <c r="C7079">
        <v>8300.9445922479281</v>
      </c>
    </row>
    <row r="7080" spans="1:3" x14ac:dyDescent="0.35">
      <c r="A7080" t="s">
        <v>146</v>
      </c>
      <c r="B7080">
        <v>2022</v>
      </c>
      <c r="C7080">
        <v>8755.9941212062677</v>
      </c>
    </row>
    <row r="7081" spans="1:3" x14ac:dyDescent="0.35">
      <c r="A7081" t="s">
        <v>146</v>
      </c>
      <c r="B7081">
        <v>2023</v>
      </c>
      <c r="C7081">
        <v>7020.6771980393478</v>
      </c>
    </row>
    <row r="7082" spans="1:3" x14ac:dyDescent="0.35">
      <c r="A7082" t="s">
        <v>146</v>
      </c>
      <c r="B7082">
        <v>2024</v>
      </c>
      <c r="C7082">
        <v>7391.5762210937564</v>
      </c>
    </row>
    <row r="7083" spans="1:3" x14ac:dyDescent="0.35">
      <c r="A7083" t="s">
        <v>146</v>
      </c>
      <c r="B7083">
        <v>2025</v>
      </c>
      <c r="C7083">
        <v>8388.421361369943</v>
      </c>
    </row>
    <row r="7084" spans="1:3" x14ac:dyDescent="0.35">
      <c r="A7084" t="s">
        <v>147</v>
      </c>
      <c r="B7084">
        <v>1949</v>
      </c>
      <c r="C7084">
        <v>0</v>
      </c>
    </row>
    <row r="7085" spans="1:3" x14ac:dyDescent="0.35">
      <c r="A7085" t="s">
        <v>147</v>
      </c>
      <c r="B7085">
        <v>1950</v>
      </c>
      <c r="C7085">
        <v>0</v>
      </c>
    </row>
    <row r="7086" spans="1:3" x14ac:dyDescent="0.35">
      <c r="A7086" t="s">
        <v>147</v>
      </c>
      <c r="B7086">
        <v>1951</v>
      </c>
      <c r="C7086">
        <v>0</v>
      </c>
    </row>
    <row r="7087" spans="1:3" x14ac:dyDescent="0.35">
      <c r="A7087" t="s">
        <v>147</v>
      </c>
      <c r="B7087">
        <v>1952</v>
      </c>
      <c r="C7087">
        <v>0</v>
      </c>
    </row>
    <row r="7088" spans="1:3" x14ac:dyDescent="0.35">
      <c r="A7088" t="s">
        <v>147</v>
      </c>
      <c r="B7088">
        <v>1953</v>
      </c>
      <c r="C7088">
        <v>0</v>
      </c>
    </row>
    <row r="7089" spans="1:3" x14ac:dyDescent="0.35">
      <c r="A7089" t="s">
        <v>147</v>
      </c>
      <c r="B7089">
        <v>1954</v>
      </c>
      <c r="C7089">
        <v>0</v>
      </c>
    </row>
    <row r="7090" spans="1:3" x14ac:dyDescent="0.35">
      <c r="A7090" t="s">
        <v>147</v>
      </c>
      <c r="B7090">
        <v>1955</v>
      </c>
      <c r="C7090">
        <v>0</v>
      </c>
    </row>
    <row r="7091" spans="1:3" x14ac:dyDescent="0.35">
      <c r="A7091" t="s">
        <v>147</v>
      </c>
      <c r="B7091">
        <v>1956</v>
      </c>
      <c r="C7091">
        <v>0</v>
      </c>
    </row>
    <row r="7092" spans="1:3" x14ac:dyDescent="0.35">
      <c r="A7092" t="s">
        <v>147</v>
      </c>
      <c r="B7092">
        <v>1957</v>
      </c>
      <c r="C7092">
        <v>0</v>
      </c>
    </row>
    <row r="7093" spans="1:3" x14ac:dyDescent="0.35">
      <c r="A7093" t="s">
        <v>147</v>
      </c>
      <c r="B7093">
        <v>1958</v>
      </c>
      <c r="C7093">
        <v>0</v>
      </c>
    </row>
    <row r="7094" spans="1:3" x14ac:dyDescent="0.35">
      <c r="A7094" t="s">
        <v>147</v>
      </c>
      <c r="B7094">
        <v>1959</v>
      </c>
      <c r="C7094">
        <v>0</v>
      </c>
    </row>
    <row r="7095" spans="1:3" x14ac:dyDescent="0.35">
      <c r="A7095" t="s">
        <v>147</v>
      </c>
      <c r="B7095">
        <v>1960</v>
      </c>
      <c r="C7095">
        <v>0</v>
      </c>
    </row>
    <row r="7096" spans="1:3" x14ac:dyDescent="0.35">
      <c r="A7096" t="s">
        <v>147</v>
      </c>
      <c r="B7096">
        <v>1961</v>
      </c>
      <c r="C7096">
        <v>0</v>
      </c>
    </row>
    <row r="7097" spans="1:3" x14ac:dyDescent="0.35">
      <c r="A7097" t="s">
        <v>147</v>
      </c>
      <c r="B7097">
        <v>1962</v>
      </c>
      <c r="C7097">
        <v>0</v>
      </c>
    </row>
    <row r="7098" spans="1:3" x14ac:dyDescent="0.35">
      <c r="A7098" t="s">
        <v>147</v>
      </c>
      <c r="B7098">
        <v>1963</v>
      </c>
      <c r="C7098">
        <v>0</v>
      </c>
    </row>
    <row r="7099" spans="1:3" x14ac:dyDescent="0.35">
      <c r="A7099" t="s">
        <v>147</v>
      </c>
      <c r="B7099">
        <v>1964</v>
      </c>
      <c r="C7099">
        <v>0</v>
      </c>
    </row>
    <row r="7100" spans="1:3" x14ac:dyDescent="0.35">
      <c r="A7100" t="s">
        <v>147</v>
      </c>
      <c r="B7100">
        <v>1965</v>
      </c>
      <c r="C7100">
        <v>0</v>
      </c>
    </row>
    <row r="7101" spans="1:3" x14ac:dyDescent="0.35">
      <c r="A7101" t="s">
        <v>147</v>
      </c>
      <c r="B7101">
        <v>1966</v>
      </c>
      <c r="C7101">
        <v>0</v>
      </c>
    </row>
    <row r="7102" spans="1:3" x14ac:dyDescent="0.35">
      <c r="A7102" t="s">
        <v>147</v>
      </c>
      <c r="B7102">
        <v>1967</v>
      </c>
      <c r="C7102">
        <v>0</v>
      </c>
    </row>
    <row r="7103" spans="1:3" x14ac:dyDescent="0.35">
      <c r="A7103" t="s">
        <v>147</v>
      </c>
      <c r="B7103">
        <v>1968</v>
      </c>
      <c r="C7103">
        <v>0</v>
      </c>
    </row>
    <row r="7104" spans="1:3" x14ac:dyDescent="0.35">
      <c r="A7104" t="s">
        <v>147</v>
      </c>
      <c r="B7104">
        <v>1969</v>
      </c>
      <c r="C7104">
        <v>0</v>
      </c>
    </row>
    <row r="7105" spans="1:3" x14ac:dyDescent="0.35">
      <c r="A7105" t="s">
        <v>147</v>
      </c>
      <c r="B7105">
        <v>1970</v>
      </c>
      <c r="C7105">
        <v>0</v>
      </c>
    </row>
    <row r="7106" spans="1:3" x14ac:dyDescent="0.35">
      <c r="A7106" t="s">
        <v>147</v>
      </c>
      <c r="B7106">
        <v>1971</v>
      </c>
      <c r="C7106">
        <v>0</v>
      </c>
    </row>
    <row r="7107" spans="1:3" x14ac:dyDescent="0.35">
      <c r="A7107" t="s">
        <v>147</v>
      </c>
      <c r="B7107">
        <v>1972</v>
      </c>
      <c r="C7107">
        <v>0</v>
      </c>
    </row>
    <row r="7108" spans="1:3" x14ac:dyDescent="0.35">
      <c r="A7108" t="s">
        <v>147</v>
      </c>
      <c r="B7108">
        <v>1973</v>
      </c>
      <c r="C7108">
        <v>0</v>
      </c>
    </row>
    <row r="7109" spans="1:3" x14ac:dyDescent="0.35">
      <c r="A7109" t="s">
        <v>147</v>
      </c>
      <c r="B7109">
        <v>1974</v>
      </c>
      <c r="C7109">
        <v>0</v>
      </c>
    </row>
    <row r="7110" spans="1:3" x14ac:dyDescent="0.35">
      <c r="A7110" t="s">
        <v>147</v>
      </c>
      <c r="B7110">
        <v>1975</v>
      </c>
      <c r="C7110">
        <v>0</v>
      </c>
    </row>
    <row r="7111" spans="1:3" x14ac:dyDescent="0.35">
      <c r="A7111" t="s">
        <v>147</v>
      </c>
      <c r="B7111">
        <v>1976</v>
      </c>
      <c r="C7111">
        <v>0</v>
      </c>
    </row>
    <row r="7112" spans="1:3" x14ac:dyDescent="0.35">
      <c r="A7112" t="s">
        <v>147</v>
      </c>
      <c r="B7112">
        <v>1977</v>
      </c>
      <c r="C7112">
        <v>0</v>
      </c>
    </row>
    <row r="7113" spans="1:3" x14ac:dyDescent="0.35">
      <c r="A7113" t="s">
        <v>147</v>
      </c>
      <c r="B7113">
        <v>1978</v>
      </c>
      <c r="C7113">
        <v>0</v>
      </c>
    </row>
    <row r="7114" spans="1:3" x14ac:dyDescent="0.35">
      <c r="A7114" t="s">
        <v>147</v>
      </c>
      <c r="B7114">
        <v>1979</v>
      </c>
      <c r="C7114">
        <v>0</v>
      </c>
    </row>
    <row r="7115" spans="1:3" x14ac:dyDescent="0.35">
      <c r="A7115" t="s">
        <v>147</v>
      </c>
      <c r="B7115">
        <v>1980</v>
      </c>
      <c r="C7115">
        <v>0</v>
      </c>
    </row>
    <row r="7116" spans="1:3" x14ac:dyDescent="0.35">
      <c r="A7116" t="s">
        <v>147</v>
      </c>
      <c r="B7116">
        <v>1981</v>
      </c>
      <c r="C7116">
        <v>0</v>
      </c>
    </row>
    <row r="7117" spans="1:3" x14ac:dyDescent="0.35">
      <c r="A7117" t="s">
        <v>147</v>
      </c>
      <c r="B7117">
        <v>1982</v>
      </c>
      <c r="C7117">
        <v>0</v>
      </c>
    </row>
    <row r="7118" spans="1:3" x14ac:dyDescent="0.35">
      <c r="A7118" t="s">
        <v>147</v>
      </c>
      <c r="B7118">
        <v>1983</v>
      </c>
      <c r="C7118">
        <v>0</v>
      </c>
    </row>
    <row r="7119" spans="1:3" x14ac:dyDescent="0.35">
      <c r="A7119" t="s">
        <v>147</v>
      </c>
      <c r="B7119">
        <v>1984</v>
      </c>
      <c r="C7119">
        <v>0</v>
      </c>
    </row>
    <row r="7120" spans="1:3" x14ac:dyDescent="0.35">
      <c r="A7120" t="s">
        <v>147</v>
      </c>
      <c r="B7120">
        <v>1985</v>
      </c>
      <c r="C7120">
        <v>0</v>
      </c>
    </row>
    <row r="7121" spans="1:3" x14ac:dyDescent="0.35">
      <c r="A7121" t="s">
        <v>147</v>
      </c>
      <c r="B7121">
        <v>1986</v>
      </c>
      <c r="C7121">
        <v>0</v>
      </c>
    </row>
    <row r="7122" spans="1:3" x14ac:dyDescent="0.35">
      <c r="A7122" t="s">
        <v>147</v>
      </c>
      <c r="B7122">
        <v>1987</v>
      </c>
      <c r="C7122">
        <v>0</v>
      </c>
    </row>
    <row r="7123" spans="1:3" x14ac:dyDescent="0.35">
      <c r="A7123" t="s">
        <v>147</v>
      </c>
      <c r="B7123">
        <v>1988</v>
      </c>
      <c r="C7123">
        <v>0</v>
      </c>
    </row>
    <row r="7124" spans="1:3" x14ac:dyDescent="0.35">
      <c r="A7124" t="s">
        <v>147</v>
      </c>
      <c r="B7124">
        <v>1989</v>
      </c>
      <c r="C7124">
        <v>0</v>
      </c>
    </row>
    <row r="7125" spans="1:3" x14ac:dyDescent="0.35">
      <c r="A7125" t="s">
        <v>147</v>
      </c>
      <c r="B7125">
        <v>1990</v>
      </c>
      <c r="C7125">
        <v>0</v>
      </c>
    </row>
    <row r="7126" spans="1:3" x14ac:dyDescent="0.35">
      <c r="A7126" t="s">
        <v>147</v>
      </c>
      <c r="B7126">
        <v>1991</v>
      </c>
      <c r="C7126">
        <v>0</v>
      </c>
    </row>
    <row r="7127" spans="1:3" x14ac:dyDescent="0.35">
      <c r="A7127" t="s">
        <v>147</v>
      </c>
      <c r="B7127">
        <v>1992</v>
      </c>
      <c r="C7127">
        <v>0</v>
      </c>
    </row>
    <row r="7128" spans="1:3" x14ac:dyDescent="0.35">
      <c r="A7128" t="s">
        <v>147</v>
      </c>
      <c r="B7128">
        <v>1993</v>
      </c>
      <c r="C7128">
        <v>0</v>
      </c>
    </row>
    <row r="7129" spans="1:3" x14ac:dyDescent="0.35">
      <c r="A7129" t="s">
        <v>147</v>
      </c>
      <c r="B7129">
        <v>1994</v>
      </c>
      <c r="C7129">
        <v>0</v>
      </c>
    </row>
    <row r="7130" spans="1:3" x14ac:dyDescent="0.35">
      <c r="A7130" t="s">
        <v>147</v>
      </c>
      <c r="B7130">
        <v>1995</v>
      </c>
      <c r="C7130">
        <v>0</v>
      </c>
    </row>
    <row r="7131" spans="1:3" x14ac:dyDescent="0.35">
      <c r="A7131" t="s">
        <v>147</v>
      </c>
      <c r="B7131">
        <v>1996</v>
      </c>
      <c r="C7131">
        <v>0</v>
      </c>
    </row>
    <row r="7132" spans="1:3" x14ac:dyDescent="0.35">
      <c r="A7132" t="s">
        <v>147</v>
      </c>
      <c r="B7132">
        <v>1997</v>
      </c>
      <c r="C7132">
        <v>0</v>
      </c>
    </row>
    <row r="7133" spans="1:3" x14ac:dyDescent="0.35">
      <c r="A7133" t="s">
        <v>147</v>
      </c>
      <c r="B7133">
        <v>1998</v>
      </c>
      <c r="C7133">
        <v>0</v>
      </c>
    </row>
    <row r="7134" spans="1:3" x14ac:dyDescent="0.35">
      <c r="A7134" t="s">
        <v>147</v>
      </c>
      <c r="B7134">
        <v>1999</v>
      </c>
      <c r="C7134">
        <v>0</v>
      </c>
    </row>
    <row r="7135" spans="1:3" x14ac:dyDescent="0.35">
      <c r="A7135" t="s">
        <v>147</v>
      </c>
      <c r="B7135">
        <v>2000</v>
      </c>
      <c r="C7135">
        <v>0</v>
      </c>
    </row>
    <row r="7136" spans="1:3" x14ac:dyDescent="0.35">
      <c r="A7136" t="s">
        <v>147</v>
      </c>
      <c r="B7136">
        <v>2001</v>
      </c>
      <c r="C7136">
        <v>0</v>
      </c>
    </row>
    <row r="7137" spans="1:3" x14ac:dyDescent="0.35">
      <c r="A7137" t="s">
        <v>147</v>
      </c>
      <c r="B7137">
        <v>2002</v>
      </c>
      <c r="C7137">
        <v>0</v>
      </c>
    </row>
    <row r="7138" spans="1:3" x14ac:dyDescent="0.35">
      <c r="A7138" t="s">
        <v>147</v>
      </c>
      <c r="B7138">
        <v>2003</v>
      </c>
      <c r="C7138">
        <v>0</v>
      </c>
    </row>
    <row r="7139" spans="1:3" x14ac:dyDescent="0.35">
      <c r="A7139" t="s">
        <v>147</v>
      </c>
      <c r="B7139">
        <v>2004</v>
      </c>
      <c r="C7139">
        <v>0</v>
      </c>
    </row>
    <row r="7140" spans="1:3" x14ac:dyDescent="0.35">
      <c r="A7140" t="s">
        <v>147</v>
      </c>
      <c r="B7140">
        <v>2005</v>
      </c>
      <c r="C7140">
        <v>0</v>
      </c>
    </row>
    <row r="7141" spans="1:3" x14ac:dyDescent="0.35">
      <c r="A7141" t="s">
        <v>147</v>
      </c>
      <c r="B7141">
        <v>2006</v>
      </c>
      <c r="C7141">
        <v>0</v>
      </c>
    </row>
    <row r="7142" spans="1:3" x14ac:dyDescent="0.35">
      <c r="A7142" t="s">
        <v>147</v>
      </c>
      <c r="B7142">
        <v>2007</v>
      </c>
      <c r="C7142">
        <v>0</v>
      </c>
    </row>
    <row r="7143" spans="1:3" x14ac:dyDescent="0.35">
      <c r="A7143" t="s">
        <v>147</v>
      </c>
      <c r="B7143">
        <v>2008</v>
      </c>
      <c r="C7143">
        <v>0</v>
      </c>
    </row>
    <row r="7144" spans="1:3" x14ac:dyDescent="0.35">
      <c r="A7144" t="s">
        <v>147</v>
      </c>
      <c r="B7144">
        <v>2009</v>
      </c>
      <c r="C7144">
        <v>0</v>
      </c>
    </row>
    <row r="7145" spans="1:3" x14ac:dyDescent="0.35">
      <c r="A7145" t="s">
        <v>147</v>
      </c>
      <c r="B7145">
        <v>2010</v>
      </c>
      <c r="C7145">
        <v>0</v>
      </c>
    </row>
    <row r="7146" spans="1:3" x14ac:dyDescent="0.35">
      <c r="A7146" t="s">
        <v>147</v>
      </c>
      <c r="B7146">
        <v>2011</v>
      </c>
      <c r="C7146">
        <v>0</v>
      </c>
    </row>
    <row r="7147" spans="1:3" x14ac:dyDescent="0.35">
      <c r="A7147" t="s">
        <v>147</v>
      </c>
      <c r="B7147">
        <v>2012</v>
      </c>
      <c r="C7147">
        <v>0</v>
      </c>
    </row>
    <row r="7148" spans="1:3" x14ac:dyDescent="0.35">
      <c r="A7148" t="s">
        <v>147</v>
      </c>
      <c r="B7148">
        <v>2013</v>
      </c>
      <c r="C7148">
        <v>0</v>
      </c>
    </row>
    <row r="7149" spans="1:3" x14ac:dyDescent="0.35">
      <c r="A7149" t="s">
        <v>147</v>
      </c>
      <c r="B7149">
        <v>2014</v>
      </c>
      <c r="C7149">
        <v>0</v>
      </c>
    </row>
    <row r="7150" spans="1:3" x14ac:dyDescent="0.35">
      <c r="A7150" t="s">
        <v>147</v>
      </c>
      <c r="B7150">
        <v>2015</v>
      </c>
      <c r="C7150">
        <v>0</v>
      </c>
    </row>
    <row r="7151" spans="1:3" x14ac:dyDescent="0.35">
      <c r="A7151" t="s">
        <v>147</v>
      </c>
      <c r="B7151">
        <v>2016</v>
      </c>
      <c r="C7151">
        <v>0</v>
      </c>
    </row>
    <row r="7152" spans="1:3" x14ac:dyDescent="0.35">
      <c r="A7152" t="s">
        <v>147</v>
      </c>
      <c r="B7152">
        <v>2017</v>
      </c>
      <c r="C7152">
        <v>0</v>
      </c>
    </row>
    <row r="7153" spans="1:3" x14ac:dyDescent="0.35">
      <c r="A7153" t="s">
        <v>147</v>
      </c>
      <c r="B7153">
        <v>2018</v>
      </c>
      <c r="C7153">
        <v>0</v>
      </c>
    </row>
    <row r="7154" spans="1:3" x14ac:dyDescent="0.35">
      <c r="A7154" t="s">
        <v>147</v>
      </c>
      <c r="B7154">
        <v>2019</v>
      </c>
      <c r="C7154">
        <v>0</v>
      </c>
    </row>
    <row r="7155" spans="1:3" x14ac:dyDescent="0.35">
      <c r="A7155" t="s">
        <v>147</v>
      </c>
      <c r="B7155">
        <v>2020</v>
      </c>
      <c r="C7155">
        <v>0</v>
      </c>
    </row>
    <row r="7156" spans="1:3" x14ac:dyDescent="0.35">
      <c r="A7156" t="s">
        <v>147</v>
      </c>
      <c r="B7156">
        <v>2021</v>
      </c>
      <c r="C7156">
        <v>0</v>
      </c>
    </row>
    <row r="7157" spans="1:3" x14ac:dyDescent="0.35">
      <c r="A7157" t="s">
        <v>147</v>
      </c>
      <c r="B7157">
        <v>2022</v>
      </c>
      <c r="C7157">
        <v>0</v>
      </c>
    </row>
    <row r="7158" spans="1:3" x14ac:dyDescent="0.35">
      <c r="A7158" t="s">
        <v>147</v>
      </c>
      <c r="B7158">
        <v>2023</v>
      </c>
      <c r="C7158">
        <v>0</v>
      </c>
    </row>
    <row r="7159" spans="1:3" x14ac:dyDescent="0.35">
      <c r="A7159" t="s">
        <v>147</v>
      </c>
      <c r="B7159">
        <v>2024</v>
      </c>
      <c r="C7159">
        <v>0</v>
      </c>
    </row>
    <row r="7160" spans="1:3" x14ac:dyDescent="0.35">
      <c r="A7160" t="s">
        <v>147</v>
      </c>
      <c r="B7160">
        <v>2025</v>
      </c>
      <c r="C7160">
        <v>0</v>
      </c>
    </row>
    <row r="7161" spans="1:3" x14ac:dyDescent="0.35">
      <c r="A7161" t="s">
        <v>148</v>
      </c>
      <c r="B7161">
        <v>1958</v>
      </c>
      <c r="C7161">
        <v>23.044116803902284</v>
      </c>
    </row>
    <row r="7162" spans="1:3" x14ac:dyDescent="0.35">
      <c r="A7162" t="s">
        <v>148</v>
      </c>
      <c r="B7162">
        <v>1959</v>
      </c>
      <c r="C7162">
        <v>24.146706124663158</v>
      </c>
    </row>
    <row r="7163" spans="1:3" x14ac:dyDescent="0.35">
      <c r="A7163" t="s">
        <v>148</v>
      </c>
      <c r="B7163">
        <v>1960</v>
      </c>
      <c r="C7163">
        <v>25.800590105804474</v>
      </c>
    </row>
    <row r="7164" spans="1:3" x14ac:dyDescent="0.35">
      <c r="A7164" t="s">
        <v>148</v>
      </c>
      <c r="B7164">
        <v>1961</v>
      </c>
      <c r="C7164">
        <v>27.564733019021872</v>
      </c>
    </row>
    <row r="7165" spans="1:3" x14ac:dyDescent="0.35">
      <c r="A7165" t="s">
        <v>148</v>
      </c>
      <c r="B7165">
        <v>1962</v>
      </c>
      <c r="C7165">
        <v>29.163487534125142</v>
      </c>
    </row>
    <row r="7166" spans="1:3" x14ac:dyDescent="0.35">
      <c r="A7166" t="s">
        <v>148</v>
      </c>
      <c r="B7166">
        <v>1963</v>
      </c>
      <c r="C7166">
        <v>30.21094738884797</v>
      </c>
    </row>
    <row r="7167" spans="1:3" x14ac:dyDescent="0.35">
      <c r="A7167" t="s">
        <v>148</v>
      </c>
      <c r="B7167">
        <v>1964</v>
      </c>
      <c r="C7167">
        <v>36.054670788880607</v>
      </c>
    </row>
    <row r="7168" spans="1:3" x14ac:dyDescent="0.35">
      <c r="A7168" t="s">
        <v>148</v>
      </c>
      <c r="B7168">
        <v>1965</v>
      </c>
      <c r="C7168">
        <v>39.086791420973007</v>
      </c>
    </row>
    <row r="7169" spans="1:3" x14ac:dyDescent="0.35">
      <c r="A7169" t="s">
        <v>148</v>
      </c>
      <c r="B7169">
        <v>1966</v>
      </c>
      <c r="C7169">
        <v>38.314978896440401</v>
      </c>
    </row>
    <row r="7170" spans="1:3" x14ac:dyDescent="0.35">
      <c r="A7170" t="s">
        <v>148</v>
      </c>
      <c r="B7170">
        <v>1967</v>
      </c>
      <c r="C7170">
        <v>39.69324192650334</v>
      </c>
    </row>
    <row r="7171" spans="1:3" x14ac:dyDescent="0.35">
      <c r="A7171" t="s">
        <v>148</v>
      </c>
      <c r="B7171">
        <v>1968</v>
      </c>
      <c r="C7171">
        <v>37.141485432599069</v>
      </c>
    </row>
    <row r="7172" spans="1:3" x14ac:dyDescent="0.35">
      <c r="A7172" t="s">
        <v>148</v>
      </c>
      <c r="B7172">
        <v>1969</v>
      </c>
      <c r="C7172">
        <v>41.630596267327967</v>
      </c>
    </row>
    <row r="7173" spans="1:3" x14ac:dyDescent="0.35">
      <c r="A7173" t="s">
        <v>148</v>
      </c>
      <c r="B7173">
        <v>1970</v>
      </c>
      <c r="C7173">
        <v>50.986848322868191</v>
      </c>
    </row>
    <row r="7174" spans="1:3" x14ac:dyDescent="0.35">
      <c r="A7174" t="s">
        <v>148</v>
      </c>
      <c r="B7174">
        <v>1971</v>
      </c>
      <c r="C7174">
        <v>63.486922173178904</v>
      </c>
    </row>
    <row r="7175" spans="1:3" x14ac:dyDescent="0.35">
      <c r="A7175" t="s">
        <v>148</v>
      </c>
      <c r="B7175">
        <v>1972</v>
      </c>
      <c r="C7175">
        <v>84.039646649921011</v>
      </c>
    </row>
    <row r="7176" spans="1:3" x14ac:dyDescent="0.35">
      <c r="A7176" t="s">
        <v>148</v>
      </c>
      <c r="B7176">
        <v>1973</v>
      </c>
      <c r="C7176">
        <v>98.307831825110469</v>
      </c>
    </row>
    <row r="7177" spans="1:3" x14ac:dyDescent="0.35">
      <c r="A7177" t="s">
        <v>148</v>
      </c>
      <c r="B7177">
        <v>1974</v>
      </c>
      <c r="C7177">
        <v>111.20541887067581</v>
      </c>
    </row>
    <row r="7178" spans="1:3" x14ac:dyDescent="0.35">
      <c r="A7178" t="s">
        <v>148</v>
      </c>
      <c r="B7178">
        <v>1975</v>
      </c>
      <c r="C7178">
        <v>154.36239272162155</v>
      </c>
    </row>
    <row r="7179" spans="1:3" x14ac:dyDescent="0.35">
      <c r="A7179" t="s">
        <v>148</v>
      </c>
      <c r="B7179">
        <v>1976</v>
      </c>
      <c r="C7179">
        <v>152.83984931123007</v>
      </c>
    </row>
    <row r="7180" spans="1:3" x14ac:dyDescent="0.35">
      <c r="A7180" t="s">
        <v>148</v>
      </c>
      <c r="B7180">
        <v>1977</v>
      </c>
      <c r="C7180">
        <v>171.72570596437723</v>
      </c>
    </row>
    <row r="7181" spans="1:3" x14ac:dyDescent="0.35">
      <c r="A7181" t="s">
        <v>148</v>
      </c>
      <c r="B7181">
        <v>1978</v>
      </c>
      <c r="C7181">
        <v>217.46550000453053</v>
      </c>
    </row>
    <row r="7182" spans="1:3" x14ac:dyDescent="0.35">
      <c r="A7182" t="s">
        <v>148</v>
      </c>
      <c r="B7182">
        <v>1979</v>
      </c>
      <c r="C7182">
        <v>290.14100853014565</v>
      </c>
    </row>
    <row r="7183" spans="1:3" x14ac:dyDescent="0.35">
      <c r="A7183" t="s">
        <v>148</v>
      </c>
      <c r="B7183">
        <v>1980</v>
      </c>
      <c r="C7183">
        <v>362.51116663861518</v>
      </c>
    </row>
    <row r="7184" spans="1:3" x14ac:dyDescent="0.35">
      <c r="A7184" t="s">
        <v>148</v>
      </c>
      <c r="B7184">
        <v>1981</v>
      </c>
      <c r="C7184">
        <v>327.04345114503235</v>
      </c>
    </row>
    <row r="7185" spans="1:3" x14ac:dyDescent="0.35">
      <c r="A7185" t="s">
        <v>148</v>
      </c>
      <c r="B7185">
        <v>1982</v>
      </c>
      <c r="C7185">
        <v>342.04887274775911</v>
      </c>
    </row>
    <row r="7186" spans="1:3" x14ac:dyDescent="0.35">
      <c r="A7186" t="s">
        <v>148</v>
      </c>
      <c r="B7186">
        <v>1983</v>
      </c>
      <c r="C7186">
        <v>310.25809166805323</v>
      </c>
    </row>
    <row r="7187" spans="1:3" x14ac:dyDescent="0.35">
      <c r="A7187" t="s">
        <v>148</v>
      </c>
      <c r="B7187">
        <v>1984</v>
      </c>
      <c r="C7187">
        <v>284.27522622502988</v>
      </c>
    </row>
    <row r="7188" spans="1:3" x14ac:dyDescent="0.35">
      <c r="A7188" t="s">
        <v>148</v>
      </c>
      <c r="B7188">
        <v>1985</v>
      </c>
      <c r="C7188">
        <v>301.49581903587966</v>
      </c>
    </row>
    <row r="7189" spans="1:3" x14ac:dyDescent="0.35">
      <c r="A7189" t="s">
        <v>148</v>
      </c>
      <c r="B7189">
        <v>1986</v>
      </c>
      <c r="C7189">
        <v>409.08117823857702</v>
      </c>
    </row>
    <row r="7190" spans="1:3" x14ac:dyDescent="0.35">
      <c r="A7190" t="s">
        <v>148</v>
      </c>
      <c r="B7190">
        <v>1987</v>
      </c>
      <c r="C7190">
        <v>435.37899038889174</v>
      </c>
    </row>
    <row r="7191" spans="1:3" x14ac:dyDescent="0.35">
      <c r="A7191" t="s">
        <v>148</v>
      </c>
      <c r="B7191">
        <v>1988</v>
      </c>
      <c r="C7191">
        <v>453.48644699367281</v>
      </c>
    </row>
    <row r="7192" spans="1:3" x14ac:dyDescent="0.35">
      <c r="A7192" t="s">
        <v>148</v>
      </c>
      <c r="B7192">
        <v>1989</v>
      </c>
      <c r="C7192">
        <v>434.22205602469154</v>
      </c>
    </row>
    <row r="7193" spans="1:3" x14ac:dyDescent="0.35">
      <c r="A7193" t="s">
        <v>148</v>
      </c>
      <c r="B7193">
        <v>1990</v>
      </c>
      <c r="C7193">
        <v>594.00601040292099</v>
      </c>
    </row>
    <row r="7194" spans="1:3" x14ac:dyDescent="0.35">
      <c r="A7194" t="s">
        <v>148</v>
      </c>
      <c r="B7194">
        <v>1991</v>
      </c>
      <c r="C7194">
        <v>624.93265811873721</v>
      </c>
    </row>
    <row r="7195" spans="1:3" x14ac:dyDescent="0.35">
      <c r="A7195" t="s">
        <v>148</v>
      </c>
      <c r="B7195">
        <v>1992</v>
      </c>
      <c r="C7195">
        <v>674.03504446219245</v>
      </c>
    </row>
    <row r="7196" spans="1:3" x14ac:dyDescent="0.35">
      <c r="A7196" t="s">
        <v>148</v>
      </c>
      <c r="B7196">
        <v>1993</v>
      </c>
      <c r="C7196">
        <v>597.72376556669212</v>
      </c>
    </row>
    <row r="7197" spans="1:3" x14ac:dyDescent="0.35">
      <c r="A7197" t="s">
        <v>148</v>
      </c>
      <c r="B7197">
        <v>1994</v>
      </c>
      <c r="C7197">
        <v>633.69937913951162</v>
      </c>
    </row>
    <row r="7198" spans="1:3" x14ac:dyDescent="0.35">
      <c r="A7198" t="s">
        <v>148</v>
      </c>
      <c r="B7198">
        <v>1995</v>
      </c>
      <c r="C7198">
        <v>702.03970312306649</v>
      </c>
    </row>
    <row r="7199" spans="1:3" x14ac:dyDescent="0.35">
      <c r="A7199" t="s">
        <v>148</v>
      </c>
      <c r="B7199">
        <v>1996</v>
      </c>
      <c r="C7199">
        <v>750.98724581727811</v>
      </c>
    </row>
    <row r="7200" spans="1:3" x14ac:dyDescent="0.35">
      <c r="A7200" t="s">
        <v>148</v>
      </c>
      <c r="B7200">
        <v>1997</v>
      </c>
      <c r="C7200">
        <v>765.30551330389903</v>
      </c>
    </row>
    <row r="7201" spans="1:3" x14ac:dyDescent="0.35">
      <c r="A7201" t="s">
        <v>148</v>
      </c>
      <c r="B7201">
        <v>1998</v>
      </c>
      <c r="C7201">
        <v>742.40215319053493</v>
      </c>
    </row>
    <row r="7202" spans="1:3" x14ac:dyDescent="0.35">
      <c r="A7202" t="s">
        <v>148</v>
      </c>
      <c r="B7202">
        <v>1999</v>
      </c>
      <c r="C7202">
        <v>741.50860778562742</v>
      </c>
    </row>
    <row r="7203" spans="1:3" x14ac:dyDescent="0.35">
      <c r="A7203" t="s">
        <v>148</v>
      </c>
      <c r="B7203">
        <v>2000</v>
      </c>
      <c r="C7203">
        <v>694.67477427676442</v>
      </c>
    </row>
    <row r="7204" spans="1:3" x14ac:dyDescent="0.35">
      <c r="A7204" t="s">
        <v>148</v>
      </c>
      <c r="B7204">
        <v>2001</v>
      </c>
      <c r="C7204">
        <v>767.77836439942371</v>
      </c>
    </row>
    <row r="7205" spans="1:3" x14ac:dyDescent="0.35">
      <c r="A7205" t="s">
        <v>148</v>
      </c>
      <c r="B7205">
        <v>2002</v>
      </c>
      <c r="C7205">
        <v>811.25594089689889</v>
      </c>
    </row>
    <row r="7206" spans="1:3" x14ac:dyDescent="0.35">
      <c r="A7206" t="s">
        <v>148</v>
      </c>
      <c r="B7206">
        <v>2003</v>
      </c>
      <c r="C7206">
        <v>965.19998103910234</v>
      </c>
    </row>
    <row r="7207" spans="1:3" x14ac:dyDescent="0.35">
      <c r="A7207" t="s">
        <v>148</v>
      </c>
      <c r="B7207">
        <v>2004</v>
      </c>
      <c r="C7207">
        <v>1101.8606470358159</v>
      </c>
    </row>
    <row r="7208" spans="1:3" x14ac:dyDescent="0.35">
      <c r="A7208" t="s">
        <v>148</v>
      </c>
      <c r="B7208">
        <v>2005</v>
      </c>
      <c r="C7208">
        <v>1144.9783614385913</v>
      </c>
    </row>
    <row r="7209" spans="1:3" x14ac:dyDescent="0.35">
      <c r="A7209" t="s">
        <v>148</v>
      </c>
      <c r="B7209">
        <v>2006</v>
      </c>
      <c r="C7209">
        <v>1190.3791173707034</v>
      </c>
    </row>
    <row r="7210" spans="1:3" x14ac:dyDescent="0.35">
      <c r="A7210" t="s">
        <v>148</v>
      </c>
      <c r="B7210">
        <v>2007</v>
      </c>
      <c r="C7210">
        <v>1372.2253701559457</v>
      </c>
    </row>
    <row r="7211" spans="1:3" x14ac:dyDescent="0.35">
      <c r="A7211" t="s">
        <v>148</v>
      </c>
      <c r="B7211">
        <v>2008</v>
      </c>
      <c r="C7211">
        <v>1582.8908338521258</v>
      </c>
    </row>
    <row r="7212" spans="1:3" x14ac:dyDescent="0.35">
      <c r="A7212" t="s">
        <v>148</v>
      </c>
      <c r="B7212">
        <v>2009</v>
      </c>
      <c r="C7212">
        <v>1415.7253734494882</v>
      </c>
    </row>
    <row r="7213" spans="1:3" x14ac:dyDescent="0.35">
      <c r="A7213" t="s">
        <v>148</v>
      </c>
      <c r="B7213">
        <v>2010</v>
      </c>
      <c r="C7213">
        <v>1274.2286883563233</v>
      </c>
    </row>
    <row r="7214" spans="1:3" x14ac:dyDescent="0.35">
      <c r="A7214" t="s">
        <v>148</v>
      </c>
      <c r="B7214">
        <v>2011</v>
      </c>
      <c r="C7214">
        <v>1300.3315470108639</v>
      </c>
    </row>
    <row r="7215" spans="1:3" x14ac:dyDescent="0.35">
      <c r="A7215" t="s">
        <v>148</v>
      </c>
      <c r="B7215">
        <v>2012</v>
      </c>
      <c r="C7215">
        <v>1157.5317296548606</v>
      </c>
    </row>
    <row r="7216" spans="1:3" x14ac:dyDescent="0.35">
      <c r="A7216" t="s">
        <v>148</v>
      </c>
      <c r="B7216">
        <v>2013</v>
      </c>
      <c r="C7216">
        <v>1195.7634443723036</v>
      </c>
    </row>
    <row r="7217" spans="1:3" x14ac:dyDescent="0.35">
      <c r="A7217" t="s">
        <v>148</v>
      </c>
      <c r="B7217">
        <v>2014</v>
      </c>
      <c r="C7217">
        <v>1192.7336912241997</v>
      </c>
    </row>
    <row r="7218" spans="1:3" x14ac:dyDescent="0.35">
      <c r="A7218" t="s">
        <v>148</v>
      </c>
      <c r="B7218">
        <v>2015</v>
      </c>
      <c r="C7218">
        <v>997.00565598314301</v>
      </c>
    </row>
    <row r="7219" spans="1:3" x14ac:dyDescent="0.35">
      <c r="A7219" t="s">
        <v>148</v>
      </c>
      <c r="B7219">
        <v>2016</v>
      </c>
      <c r="C7219">
        <v>1001.6104182993565</v>
      </c>
    </row>
    <row r="7220" spans="1:3" x14ac:dyDescent="0.35">
      <c r="A7220" t="s">
        <v>148</v>
      </c>
      <c r="B7220">
        <v>2017</v>
      </c>
      <c r="C7220">
        <v>1025.0634474195053</v>
      </c>
    </row>
    <row r="7221" spans="1:3" x14ac:dyDescent="0.35">
      <c r="A7221" t="s">
        <v>148</v>
      </c>
      <c r="B7221">
        <v>2018</v>
      </c>
      <c r="C7221">
        <v>1107.1373770994887</v>
      </c>
    </row>
    <row r="7222" spans="1:3" x14ac:dyDescent="0.35">
      <c r="A7222" t="s">
        <v>148</v>
      </c>
      <c r="B7222">
        <v>2019</v>
      </c>
      <c r="C7222">
        <v>1112.7407075682938</v>
      </c>
    </row>
    <row r="7223" spans="1:3" x14ac:dyDescent="0.35">
      <c r="A7223" t="s">
        <v>148</v>
      </c>
      <c r="B7223">
        <v>2020</v>
      </c>
      <c r="C7223">
        <v>1144.420380713553</v>
      </c>
    </row>
    <row r="7224" spans="1:3" x14ac:dyDescent="0.35">
      <c r="A7224" t="s">
        <v>148</v>
      </c>
      <c r="B7224">
        <v>2021</v>
      </c>
      <c r="C7224">
        <v>1267.7388836329233</v>
      </c>
    </row>
    <row r="7225" spans="1:3" x14ac:dyDescent="0.35">
      <c r="A7225" t="s">
        <v>148</v>
      </c>
      <c r="B7225">
        <v>2022</v>
      </c>
      <c r="C7225">
        <v>1164.3120987488114</v>
      </c>
    </row>
    <row r="7226" spans="1:3" x14ac:dyDescent="0.35">
      <c r="A7226" t="s">
        <v>148</v>
      </c>
      <c r="B7226">
        <v>2023</v>
      </c>
      <c r="C7226">
        <v>1269.225284246827</v>
      </c>
    </row>
    <row r="7227" spans="1:3" x14ac:dyDescent="0.35">
      <c r="A7227" t="s">
        <v>148</v>
      </c>
      <c r="B7227">
        <v>2024</v>
      </c>
      <c r="C7227">
        <v>1333.2762614062513</v>
      </c>
    </row>
    <row r="7228" spans="1:3" x14ac:dyDescent="0.35">
      <c r="A7228" t="s">
        <v>148</v>
      </c>
      <c r="B7228">
        <v>2025</v>
      </c>
      <c r="C7228">
        <v>1551.1134174130812</v>
      </c>
    </row>
    <row r="7229" spans="1:3" x14ac:dyDescent="0.35">
      <c r="A7229" t="s">
        <v>149</v>
      </c>
      <c r="B7229">
        <v>1949</v>
      </c>
      <c r="C7229">
        <v>467.23430058061933</v>
      </c>
    </row>
    <row r="7230" spans="1:3" x14ac:dyDescent="0.35">
      <c r="A7230" t="s">
        <v>149</v>
      </c>
      <c r="B7230">
        <v>1950</v>
      </c>
      <c r="C7230">
        <v>501.26509684299299</v>
      </c>
    </row>
    <row r="7231" spans="1:3" x14ac:dyDescent="0.35">
      <c r="A7231" t="s">
        <v>149</v>
      </c>
      <c r="B7231">
        <v>1951</v>
      </c>
      <c r="C7231">
        <v>648.57131350182476</v>
      </c>
    </row>
    <row r="7232" spans="1:3" x14ac:dyDescent="0.35">
      <c r="A7232" t="s">
        <v>149</v>
      </c>
      <c r="B7232">
        <v>1952</v>
      </c>
      <c r="C7232">
        <v>739.39108263679339</v>
      </c>
    </row>
    <row r="7233" spans="1:3" x14ac:dyDescent="0.35">
      <c r="A7233" t="s">
        <v>149</v>
      </c>
      <c r="B7233">
        <v>1953</v>
      </c>
      <c r="C7233">
        <v>681.21696727863036</v>
      </c>
    </row>
    <row r="7234" spans="1:3" x14ac:dyDescent="0.35">
      <c r="A7234" t="s">
        <v>149</v>
      </c>
      <c r="B7234">
        <v>1954</v>
      </c>
      <c r="C7234">
        <v>770.52536355356176</v>
      </c>
    </row>
    <row r="7235" spans="1:3" x14ac:dyDescent="0.35">
      <c r="A7235" t="s">
        <v>149</v>
      </c>
      <c r="B7235">
        <v>1955</v>
      </c>
      <c r="C7235">
        <v>782.06675630293762</v>
      </c>
    </row>
    <row r="7236" spans="1:3" x14ac:dyDescent="0.35">
      <c r="A7236" t="s">
        <v>149</v>
      </c>
      <c r="B7236">
        <v>1956</v>
      </c>
      <c r="C7236">
        <v>828.78191743136313</v>
      </c>
    </row>
    <row r="7237" spans="1:3" x14ac:dyDescent="0.35">
      <c r="A7237" t="s">
        <v>149</v>
      </c>
      <c r="B7237">
        <v>1957</v>
      </c>
      <c r="C7237">
        <v>867.25322659594895</v>
      </c>
    </row>
    <row r="7238" spans="1:3" x14ac:dyDescent="0.35">
      <c r="A7238" t="s">
        <v>149</v>
      </c>
      <c r="B7238">
        <v>1958</v>
      </c>
      <c r="C7238">
        <v>918.47445072229743</v>
      </c>
    </row>
    <row r="7239" spans="1:3" x14ac:dyDescent="0.35">
      <c r="A7239" t="s">
        <v>149</v>
      </c>
      <c r="B7239">
        <v>1959</v>
      </c>
      <c r="C7239">
        <v>952.58121235550129</v>
      </c>
    </row>
    <row r="7240" spans="1:3" x14ac:dyDescent="0.35">
      <c r="A7240" t="s">
        <v>149</v>
      </c>
      <c r="B7240">
        <v>1960</v>
      </c>
      <c r="C7240">
        <v>1009.3088564309276</v>
      </c>
    </row>
    <row r="7241" spans="1:3" x14ac:dyDescent="0.35">
      <c r="A7241" t="s">
        <v>149</v>
      </c>
      <c r="B7241">
        <v>1961</v>
      </c>
      <c r="C7241">
        <v>1062.9073132044141</v>
      </c>
    </row>
    <row r="7242" spans="1:3" x14ac:dyDescent="0.35">
      <c r="A7242" t="s">
        <v>149</v>
      </c>
      <c r="B7242">
        <v>1962</v>
      </c>
      <c r="C7242">
        <v>1222.0136561065226</v>
      </c>
    </row>
    <row r="7243" spans="1:3" x14ac:dyDescent="0.35">
      <c r="A7243" t="s">
        <v>149</v>
      </c>
      <c r="B7243">
        <v>1963</v>
      </c>
      <c r="C7243">
        <v>1463.283723581568</v>
      </c>
    </row>
    <row r="7244" spans="1:3" x14ac:dyDescent="0.35">
      <c r="A7244" t="s">
        <v>149</v>
      </c>
      <c r="B7244">
        <v>1964</v>
      </c>
      <c r="C7244">
        <v>1586.6667079737035</v>
      </c>
    </row>
    <row r="7245" spans="1:3" x14ac:dyDescent="0.35">
      <c r="A7245" t="s">
        <v>149</v>
      </c>
      <c r="B7245">
        <v>1965</v>
      </c>
      <c r="C7245">
        <v>1719.9423147224477</v>
      </c>
    </row>
    <row r="7246" spans="1:3" x14ac:dyDescent="0.35">
      <c r="A7246" t="s">
        <v>149</v>
      </c>
      <c r="B7246">
        <v>1966</v>
      </c>
      <c r="C7246">
        <v>1904.6045987124596</v>
      </c>
    </row>
    <row r="7247" spans="1:3" x14ac:dyDescent="0.35">
      <c r="A7247" t="s">
        <v>149</v>
      </c>
      <c r="B7247">
        <v>1967</v>
      </c>
      <c r="C7247">
        <v>1928.7865644730564</v>
      </c>
    </row>
    <row r="7248" spans="1:3" x14ac:dyDescent="0.35">
      <c r="A7248" t="s">
        <v>149</v>
      </c>
      <c r="B7248">
        <v>1968</v>
      </c>
      <c r="C7248">
        <v>1991.1650443327778</v>
      </c>
    </row>
    <row r="7249" spans="1:3" x14ac:dyDescent="0.35">
      <c r="A7249" t="s">
        <v>149</v>
      </c>
      <c r="B7249">
        <v>1969</v>
      </c>
      <c r="C7249">
        <v>2003.8056173439991</v>
      </c>
    </row>
    <row r="7250" spans="1:3" x14ac:dyDescent="0.35">
      <c r="A7250" t="s">
        <v>149</v>
      </c>
      <c r="B7250">
        <v>1970</v>
      </c>
      <c r="C7250">
        <v>2216.7717930765275</v>
      </c>
    </row>
    <row r="7251" spans="1:3" x14ac:dyDescent="0.35">
      <c r="A7251" t="s">
        <v>149</v>
      </c>
      <c r="B7251">
        <v>1971</v>
      </c>
      <c r="C7251">
        <v>2648.0793660206818</v>
      </c>
    </row>
    <row r="7252" spans="1:3" x14ac:dyDescent="0.35">
      <c r="A7252" t="s">
        <v>149</v>
      </c>
      <c r="B7252">
        <v>1972</v>
      </c>
      <c r="C7252">
        <v>3289.3624650157531</v>
      </c>
    </row>
    <row r="7253" spans="1:3" x14ac:dyDescent="0.35">
      <c r="A7253" t="s">
        <v>149</v>
      </c>
      <c r="B7253">
        <v>1973</v>
      </c>
      <c r="C7253">
        <v>3638.2401392265483</v>
      </c>
    </row>
    <row r="7254" spans="1:3" x14ac:dyDescent="0.35">
      <c r="A7254" t="s">
        <v>149</v>
      </c>
      <c r="B7254">
        <v>1974</v>
      </c>
      <c r="C7254">
        <v>3890.0033941299416</v>
      </c>
    </row>
    <row r="7255" spans="1:3" x14ac:dyDescent="0.35">
      <c r="A7255" t="s">
        <v>149</v>
      </c>
      <c r="B7255">
        <v>1975</v>
      </c>
      <c r="C7255">
        <v>4217.0698286907418</v>
      </c>
    </row>
    <row r="7256" spans="1:3" x14ac:dyDescent="0.35">
      <c r="A7256" t="s">
        <v>149</v>
      </c>
      <c r="B7256">
        <v>1976</v>
      </c>
      <c r="C7256">
        <v>3844.1859653612178</v>
      </c>
    </row>
    <row r="7257" spans="1:3" x14ac:dyDescent="0.35">
      <c r="A7257" t="s">
        <v>149</v>
      </c>
      <c r="B7257">
        <v>1977</v>
      </c>
      <c r="C7257">
        <v>4556.4935178927217</v>
      </c>
    </row>
    <row r="7258" spans="1:3" x14ac:dyDescent="0.35">
      <c r="A7258" t="s">
        <v>149</v>
      </c>
      <c r="B7258">
        <v>1978</v>
      </c>
      <c r="C7258">
        <v>5540.9926579633038</v>
      </c>
    </row>
    <row r="7259" spans="1:3" x14ac:dyDescent="0.35">
      <c r="A7259" t="s">
        <v>149</v>
      </c>
      <c r="B7259">
        <v>1979</v>
      </c>
      <c r="C7259">
        <v>6904.1071628323198</v>
      </c>
    </row>
    <row r="7260" spans="1:3" x14ac:dyDescent="0.35">
      <c r="A7260" t="s">
        <v>149</v>
      </c>
      <c r="B7260">
        <v>1980</v>
      </c>
      <c r="C7260">
        <v>7915.6966255047282</v>
      </c>
    </row>
    <row r="7261" spans="1:3" x14ac:dyDescent="0.35">
      <c r="A7261" t="s">
        <v>149</v>
      </c>
      <c r="B7261">
        <v>1981</v>
      </c>
      <c r="C7261">
        <v>7387.7132977907995</v>
      </c>
    </row>
    <row r="7262" spans="1:3" x14ac:dyDescent="0.35">
      <c r="A7262" t="s">
        <v>149</v>
      </c>
      <c r="B7262">
        <v>1982</v>
      </c>
      <c r="C7262">
        <v>8062.5974033410967</v>
      </c>
    </row>
    <row r="7263" spans="1:3" x14ac:dyDescent="0.35">
      <c r="A7263" t="s">
        <v>149</v>
      </c>
      <c r="B7263">
        <v>1983</v>
      </c>
      <c r="C7263">
        <v>8409.5271155758383</v>
      </c>
    </row>
    <row r="7264" spans="1:3" x14ac:dyDescent="0.35">
      <c r="A7264" t="s">
        <v>149</v>
      </c>
      <c r="B7264">
        <v>1984</v>
      </c>
      <c r="C7264">
        <v>8296.144788102205</v>
      </c>
    </row>
    <row r="7265" spans="1:3" x14ac:dyDescent="0.35">
      <c r="A7265" t="s">
        <v>149</v>
      </c>
      <c r="B7265">
        <v>1985</v>
      </c>
      <c r="C7265">
        <v>8253.3905326103813</v>
      </c>
    </row>
    <row r="7266" spans="1:3" x14ac:dyDescent="0.35">
      <c r="A7266" t="s">
        <v>149</v>
      </c>
      <c r="B7266">
        <v>1986</v>
      </c>
      <c r="C7266">
        <v>11941.809156309786</v>
      </c>
    </row>
    <row r="7267" spans="1:3" x14ac:dyDescent="0.35">
      <c r="A7267" t="s">
        <v>149</v>
      </c>
      <c r="B7267">
        <v>1987</v>
      </c>
      <c r="C7267">
        <v>15653.065895387264</v>
      </c>
    </row>
    <row r="7268" spans="1:3" x14ac:dyDescent="0.35">
      <c r="A7268" t="s">
        <v>149</v>
      </c>
      <c r="B7268">
        <v>1988</v>
      </c>
      <c r="C7268">
        <v>17403.664789842838</v>
      </c>
    </row>
    <row r="7269" spans="1:3" x14ac:dyDescent="0.35">
      <c r="A7269" t="s">
        <v>149</v>
      </c>
      <c r="B7269">
        <v>1989</v>
      </c>
      <c r="C7269">
        <v>17675.486539462934</v>
      </c>
    </row>
    <row r="7270" spans="1:3" x14ac:dyDescent="0.35">
      <c r="A7270" t="s">
        <v>149</v>
      </c>
      <c r="B7270">
        <v>1990</v>
      </c>
      <c r="C7270">
        <v>20734.625578569026</v>
      </c>
    </row>
    <row r="7271" spans="1:3" x14ac:dyDescent="0.35">
      <c r="A7271" t="s">
        <v>149</v>
      </c>
      <c r="B7271">
        <v>1991</v>
      </c>
      <c r="C7271">
        <v>21585.706771881138</v>
      </c>
    </row>
    <row r="7272" spans="1:3" x14ac:dyDescent="0.35">
      <c r="A7272" t="s">
        <v>149</v>
      </c>
      <c r="B7272">
        <v>1992</v>
      </c>
      <c r="C7272">
        <v>22177.090390331883</v>
      </c>
    </row>
    <row r="7273" spans="1:3" x14ac:dyDescent="0.35">
      <c r="A7273" t="s">
        <v>149</v>
      </c>
      <c r="B7273">
        <v>1993</v>
      </c>
      <c r="C7273">
        <v>18242.013901278526</v>
      </c>
    </row>
    <row r="7274" spans="1:3" x14ac:dyDescent="0.35">
      <c r="A7274" t="s">
        <v>149</v>
      </c>
      <c r="B7274">
        <v>1994</v>
      </c>
      <c r="C7274">
        <v>18062.459081750043</v>
      </c>
    </row>
    <row r="7275" spans="1:3" x14ac:dyDescent="0.35">
      <c r="A7275" t="s">
        <v>149</v>
      </c>
      <c r="B7275">
        <v>1995</v>
      </c>
      <c r="C7275">
        <v>17185.853003896475</v>
      </c>
    </row>
    <row r="7276" spans="1:3" x14ac:dyDescent="0.35">
      <c r="A7276" t="s">
        <v>149</v>
      </c>
      <c r="B7276">
        <v>1996</v>
      </c>
      <c r="C7276">
        <v>20793.128832200146</v>
      </c>
    </row>
    <row r="7277" spans="1:3" x14ac:dyDescent="0.35">
      <c r="A7277" t="s">
        <v>149</v>
      </c>
      <c r="B7277">
        <v>1997</v>
      </c>
      <c r="C7277">
        <v>20156.10225836085</v>
      </c>
    </row>
    <row r="7278" spans="1:3" x14ac:dyDescent="0.35">
      <c r="A7278" t="s">
        <v>149</v>
      </c>
      <c r="B7278">
        <v>1998</v>
      </c>
      <c r="C7278">
        <v>20825.125351855073</v>
      </c>
    </row>
    <row r="7279" spans="1:3" x14ac:dyDescent="0.35">
      <c r="A7279" t="s">
        <v>149</v>
      </c>
      <c r="B7279">
        <v>1999</v>
      </c>
      <c r="C7279">
        <v>21016.456909933338</v>
      </c>
    </row>
    <row r="7280" spans="1:3" x14ac:dyDescent="0.35">
      <c r="A7280" t="s">
        <v>149</v>
      </c>
      <c r="B7280">
        <v>2000</v>
      </c>
      <c r="C7280">
        <v>19878.720932375159</v>
      </c>
    </row>
    <row r="7281" spans="1:3" x14ac:dyDescent="0.35">
      <c r="A7281" t="s">
        <v>149</v>
      </c>
      <c r="B7281">
        <v>2001</v>
      </c>
      <c r="C7281">
        <v>19519.381482044904</v>
      </c>
    </row>
    <row r="7282" spans="1:3" x14ac:dyDescent="0.35">
      <c r="A7282" t="s">
        <v>149</v>
      </c>
      <c r="B7282">
        <v>2002</v>
      </c>
      <c r="C7282">
        <v>21610.059761893554</v>
      </c>
    </row>
    <row r="7283" spans="1:3" x14ac:dyDescent="0.35">
      <c r="A7283" t="s">
        <v>149</v>
      </c>
      <c r="B7283">
        <v>2003</v>
      </c>
      <c r="C7283">
        <v>26824.213292040709</v>
      </c>
    </row>
    <row r="7284" spans="1:3" x14ac:dyDescent="0.35">
      <c r="A7284" t="s">
        <v>149</v>
      </c>
      <c r="B7284">
        <v>2004</v>
      </c>
      <c r="C7284">
        <v>30261.076654684523</v>
      </c>
    </row>
    <row r="7285" spans="1:3" x14ac:dyDescent="0.35">
      <c r="A7285" t="s">
        <v>149</v>
      </c>
      <c r="B7285">
        <v>2005</v>
      </c>
      <c r="C7285">
        <v>29737.642391682835</v>
      </c>
    </row>
    <row r="7286" spans="1:3" x14ac:dyDescent="0.35">
      <c r="A7286" t="s">
        <v>149</v>
      </c>
      <c r="B7286">
        <v>2006</v>
      </c>
      <c r="C7286">
        <v>29633.02226331352</v>
      </c>
    </row>
    <row r="7287" spans="1:3" x14ac:dyDescent="0.35">
      <c r="A7287" t="s">
        <v>149</v>
      </c>
      <c r="B7287">
        <v>2007</v>
      </c>
      <c r="C7287">
        <v>31982.431792488209</v>
      </c>
    </row>
    <row r="7288" spans="1:3" x14ac:dyDescent="0.35">
      <c r="A7288" t="s">
        <v>149</v>
      </c>
      <c r="B7288">
        <v>2008</v>
      </c>
      <c r="C7288">
        <v>36839.989746218911</v>
      </c>
    </row>
    <row r="7289" spans="1:3" x14ac:dyDescent="0.35">
      <c r="A7289" t="s">
        <v>149</v>
      </c>
      <c r="B7289">
        <v>2009</v>
      </c>
      <c r="C7289">
        <v>34054.481324399901</v>
      </c>
    </row>
    <row r="7290" spans="1:3" x14ac:dyDescent="0.35">
      <c r="A7290" t="s">
        <v>149</v>
      </c>
      <c r="B7290">
        <v>2010</v>
      </c>
      <c r="C7290">
        <v>32020.819951128742</v>
      </c>
    </row>
    <row r="7291" spans="1:3" x14ac:dyDescent="0.35">
      <c r="A7291" t="s">
        <v>149</v>
      </c>
      <c r="B7291">
        <v>2011</v>
      </c>
      <c r="C7291">
        <v>33828.804971119964</v>
      </c>
    </row>
    <row r="7292" spans="1:3" x14ac:dyDescent="0.35">
      <c r="A7292" t="s">
        <v>149</v>
      </c>
      <c r="B7292">
        <v>2012</v>
      </c>
      <c r="C7292">
        <v>29781.008205125567</v>
      </c>
    </row>
    <row r="7293" spans="1:3" x14ac:dyDescent="0.35">
      <c r="A7293" t="s">
        <v>149</v>
      </c>
      <c r="B7293">
        <v>2013</v>
      </c>
      <c r="C7293">
        <v>29957.445904516841</v>
      </c>
    </row>
    <row r="7294" spans="1:3" x14ac:dyDescent="0.35">
      <c r="A7294" t="s">
        <v>149</v>
      </c>
      <c r="B7294">
        <v>2014</v>
      </c>
      <c r="C7294">
        <v>27146.433069530005</v>
      </c>
    </row>
    <row r="7295" spans="1:3" x14ac:dyDescent="0.35">
      <c r="A7295" t="s">
        <v>149</v>
      </c>
      <c r="B7295">
        <v>2015</v>
      </c>
      <c r="C7295">
        <v>21748.364200953754</v>
      </c>
    </row>
    <row r="7296" spans="1:3" x14ac:dyDescent="0.35">
      <c r="A7296" t="s">
        <v>149</v>
      </c>
      <c r="B7296">
        <v>2016</v>
      </c>
      <c r="C7296">
        <v>24444.7352170575</v>
      </c>
    </row>
    <row r="7297" spans="1:3" x14ac:dyDescent="0.35">
      <c r="A7297" t="s">
        <v>149</v>
      </c>
      <c r="B7297">
        <v>2017</v>
      </c>
      <c r="C7297">
        <v>25146.368195672017</v>
      </c>
    </row>
    <row r="7298" spans="1:3" x14ac:dyDescent="0.35">
      <c r="A7298" t="s">
        <v>149</v>
      </c>
      <c r="B7298">
        <v>2018</v>
      </c>
      <c r="C7298">
        <v>27705.227624139843</v>
      </c>
    </row>
    <row r="7299" spans="1:3" x14ac:dyDescent="0.35">
      <c r="A7299" t="s">
        <v>149</v>
      </c>
      <c r="B7299">
        <v>2019</v>
      </c>
      <c r="C7299">
        <v>25206.4487236901</v>
      </c>
    </row>
    <row r="7300" spans="1:3" x14ac:dyDescent="0.35">
      <c r="A7300" t="s">
        <v>149</v>
      </c>
      <c r="B7300">
        <v>2020</v>
      </c>
      <c r="C7300">
        <v>31645.047304228887</v>
      </c>
    </row>
    <row r="7301" spans="1:3" x14ac:dyDescent="0.35">
      <c r="A7301" t="s">
        <v>149</v>
      </c>
      <c r="B7301">
        <v>2021</v>
      </c>
      <c r="C7301">
        <v>35038.552507095548</v>
      </c>
    </row>
    <row r="7302" spans="1:3" x14ac:dyDescent="0.35">
      <c r="A7302" t="s">
        <v>149</v>
      </c>
      <c r="B7302">
        <v>2022</v>
      </c>
      <c r="C7302">
        <v>33664.291063299876</v>
      </c>
    </row>
    <row r="7303" spans="1:3" x14ac:dyDescent="0.35">
      <c r="A7303" t="s">
        <v>149</v>
      </c>
      <c r="B7303">
        <v>2023</v>
      </c>
      <c r="C7303">
        <v>35508.165478973729</v>
      </c>
    </row>
    <row r="7304" spans="1:3" x14ac:dyDescent="0.35">
      <c r="A7304" t="s">
        <v>149</v>
      </c>
      <c r="B7304">
        <v>2024</v>
      </c>
      <c r="C7304">
        <v>37849.546135625031</v>
      </c>
    </row>
    <row r="7305" spans="1:3" x14ac:dyDescent="0.35">
      <c r="A7305" t="s">
        <v>149</v>
      </c>
      <c r="B7305">
        <v>2025</v>
      </c>
      <c r="C7305">
        <v>48143.627462040022</v>
      </c>
    </row>
    <row r="7306" spans="1:3" x14ac:dyDescent="0.35">
      <c r="A7306" t="s">
        <v>150</v>
      </c>
      <c r="B7306">
        <v>1949</v>
      </c>
      <c r="C7306">
        <v>2.4681918005530314</v>
      </c>
    </row>
    <row r="7307" spans="1:3" x14ac:dyDescent="0.35">
      <c r="A7307" t="s">
        <v>150</v>
      </c>
      <c r="B7307">
        <v>1950</v>
      </c>
      <c r="C7307">
        <v>3.3998402543022417</v>
      </c>
    </row>
    <row r="7308" spans="1:3" x14ac:dyDescent="0.35">
      <c r="A7308" t="s">
        <v>150</v>
      </c>
      <c r="B7308">
        <v>1951</v>
      </c>
      <c r="C7308">
        <v>5.2796759905443453</v>
      </c>
    </row>
    <row r="7309" spans="1:3" x14ac:dyDescent="0.35">
      <c r="A7309" t="s">
        <v>150</v>
      </c>
      <c r="B7309">
        <v>1952</v>
      </c>
      <c r="C7309">
        <v>8.7198560675127261</v>
      </c>
    </row>
    <row r="7310" spans="1:3" x14ac:dyDescent="0.35">
      <c r="A7310" t="s">
        <v>150</v>
      </c>
      <c r="B7310">
        <v>1953</v>
      </c>
      <c r="C7310">
        <v>9.7598166958458048</v>
      </c>
    </row>
    <row r="7311" spans="1:3" x14ac:dyDescent="0.35">
      <c r="A7311" t="s">
        <v>150</v>
      </c>
      <c r="B7311">
        <v>1954</v>
      </c>
      <c r="C7311">
        <v>11.299991125239012</v>
      </c>
    </row>
    <row r="7312" spans="1:3" x14ac:dyDescent="0.35">
      <c r="A7312" t="s">
        <v>150</v>
      </c>
      <c r="B7312">
        <v>1955</v>
      </c>
      <c r="C7312">
        <v>12.279442019572882</v>
      </c>
    </row>
    <row r="7313" spans="1:3" x14ac:dyDescent="0.35">
      <c r="A7313" t="s">
        <v>150</v>
      </c>
      <c r="B7313">
        <v>1956</v>
      </c>
      <c r="C7313">
        <v>7.9001508709367707</v>
      </c>
    </row>
    <row r="7314" spans="1:3" x14ac:dyDescent="0.35">
      <c r="A7314" t="s">
        <v>150</v>
      </c>
      <c r="B7314">
        <v>1957</v>
      </c>
      <c r="C7314">
        <v>8.7779454121519684</v>
      </c>
    </row>
    <row r="7315" spans="1:3" x14ac:dyDescent="0.35">
      <c r="A7315" t="s">
        <v>150</v>
      </c>
      <c r="B7315">
        <v>1958</v>
      </c>
      <c r="C7315">
        <v>8.5762462988212711</v>
      </c>
    </row>
    <row r="7316" spans="1:3" x14ac:dyDescent="0.35">
      <c r="A7316" t="s">
        <v>150</v>
      </c>
      <c r="B7316">
        <v>1959</v>
      </c>
      <c r="C7316">
        <v>8.0437606396282284</v>
      </c>
    </row>
    <row r="7317" spans="1:3" x14ac:dyDescent="0.35">
      <c r="A7317" t="s">
        <v>150</v>
      </c>
      <c r="B7317">
        <v>1960</v>
      </c>
      <c r="C7317">
        <v>5.2603128756645985</v>
      </c>
    </row>
    <row r="7318" spans="1:3" x14ac:dyDescent="0.35">
      <c r="A7318" t="s">
        <v>150</v>
      </c>
      <c r="B7318">
        <v>1961</v>
      </c>
      <c r="C7318">
        <v>5.8008664993908683</v>
      </c>
    </row>
    <row r="7319" spans="1:3" x14ac:dyDescent="0.35">
      <c r="A7319" t="s">
        <v>150</v>
      </c>
      <c r="B7319">
        <v>1962</v>
      </c>
      <c r="C7319">
        <v>7.0999701485312263</v>
      </c>
    </row>
    <row r="7320" spans="1:3" x14ac:dyDescent="0.35">
      <c r="A7320" t="s">
        <v>150</v>
      </c>
      <c r="B7320">
        <v>1963</v>
      </c>
      <c r="C7320">
        <v>6.9626533921756879</v>
      </c>
    </row>
    <row r="7321" spans="1:3" x14ac:dyDescent="0.35">
      <c r="A7321" t="s">
        <v>150</v>
      </c>
      <c r="B7321">
        <v>1964</v>
      </c>
      <c r="C7321">
        <v>9.2781592132120991</v>
      </c>
    </row>
    <row r="7322" spans="1:3" x14ac:dyDescent="0.35">
      <c r="A7322" t="s">
        <v>150</v>
      </c>
      <c r="B7322">
        <v>1965</v>
      </c>
      <c r="C7322">
        <v>9.5201981492089356</v>
      </c>
    </row>
    <row r="7323" spans="1:3" x14ac:dyDescent="0.35">
      <c r="A7323" t="s">
        <v>150</v>
      </c>
      <c r="B7323">
        <v>1966</v>
      </c>
      <c r="C7323">
        <v>9.9235963758703303</v>
      </c>
    </row>
    <row r="7324" spans="1:3" x14ac:dyDescent="0.35">
      <c r="A7324" t="s">
        <v>150</v>
      </c>
      <c r="B7324">
        <v>1967</v>
      </c>
      <c r="C7324">
        <v>8.2293238238924697</v>
      </c>
    </row>
    <row r="7325" spans="1:3" x14ac:dyDescent="0.35">
      <c r="A7325" t="s">
        <v>150</v>
      </c>
      <c r="B7325">
        <v>1968</v>
      </c>
      <c r="C7325">
        <v>7.4790031223022746</v>
      </c>
    </row>
    <row r="7326" spans="1:3" x14ac:dyDescent="0.35">
      <c r="A7326" t="s">
        <v>150</v>
      </c>
      <c r="B7326">
        <v>1969</v>
      </c>
      <c r="C7326">
        <v>7.8178576326978462</v>
      </c>
    </row>
    <row r="7327" spans="1:3" x14ac:dyDescent="0.35">
      <c r="A7327" t="s">
        <v>150</v>
      </c>
      <c r="B7327">
        <v>1970</v>
      </c>
      <c r="C7327">
        <v>8.3100034692247498</v>
      </c>
    </row>
    <row r="7328" spans="1:3" x14ac:dyDescent="0.35">
      <c r="A7328" t="s">
        <v>150</v>
      </c>
      <c r="B7328">
        <v>1971</v>
      </c>
      <c r="C7328">
        <v>9.0470097816665991</v>
      </c>
    </row>
    <row r="7329" spans="1:3" x14ac:dyDescent="0.35">
      <c r="A7329" t="s">
        <v>150</v>
      </c>
      <c r="B7329">
        <v>1972</v>
      </c>
      <c r="C7329">
        <v>11.73138787817687</v>
      </c>
    </row>
    <row r="7330" spans="1:3" x14ac:dyDescent="0.35">
      <c r="A7330" t="s">
        <v>150</v>
      </c>
      <c r="B7330">
        <v>1973</v>
      </c>
      <c r="C7330">
        <v>15.421205917603151</v>
      </c>
    </row>
    <row r="7331" spans="1:3" x14ac:dyDescent="0.35">
      <c r="A7331" t="s">
        <v>150</v>
      </c>
      <c r="B7331">
        <v>1974</v>
      </c>
      <c r="C7331">
        <v>18.227348894242024</v>
      </c>
    </row>
    <row r="7332" spans="1:3" x14ac:dyDescent="0.35">
      <c r="A7332" t="s">
        <v>150</v>
      </c>
      <c r="B7332">
        <v>1975</v>
      </c>
      <c r="C7332">
        <v>22.704189635921317</v>
      </c>
    </row>
    <row r="7333" spans="1:3" x14ac:dyDescent="0.35">
      <c r="A7333" t="s">
        <v>150</v>
      </c>
      <c r="B7333">
        <v>1976</v>
      </c>
      <c r="C7333">
        <v>25.496422663811902</v>
      </c>
    </row>
    <row r="7334" spans="1:3" x14ac:dyDescent="0.35">
      <c r="A7334" t="s">
        <v>150</v>
      </c>
      <c r="B7334">
        <v>1977</v>
      </c>
      <c r="C7334">
        <v>28.710697238888535</v>
      </c>
    </row>
    <row r="7335" spans="1:3" x14ac:dyDescent="0.35">
      <c r="A7335" t="s">
        <v>150</v>
      </c>
      <c r="B7335">
        <v>1978</v>
      </c>
      <c r="C7335">
        <v>36.648101369596297</v>
      </c>
    </row>
    <row r="7336" spans="1:3" x14ac:dyDescent="0.35">
      <c r="A7336" t="s">
        <v>150</v>
      </c>
      <c r="B7336">
        <v>1979</v>
      </c>
      <c r="C7336">
        <v>42.364311060538725</v>
      </c>
    </row>
    <row r="7337" spans="1:3" x14ac:dyDescent="0.35">
      <c r="A7337" t="s">
        <v>150</v>
      </c>
      <c r="B7337">
        <v>1980</v>
      </c>
      <c r="C7337">
        <v>52.422325288805624</v>
      </c>
    </row>
    <row r="7338" spans="1:3" x14ac:dyDescent="0.35">
      <c r="A7338" t="s">
        <v>150</v>
      </c>
      <c r="B7338">
        <v>1981</v>
      </c>
      <c r="C7338">
        <v>46.185938875066547</v>
      </c>
    </row>
    <row r="7339" spans="1:3" x14ac:dyDescent="0.35">
      <c r="A7339" t="s">
        <v>150</v>
      </c>
      <c r="B7339">
        <v>1982</v>
      </c>
      <c r="C7339">
        <v>41.434171493148746</v>
      </c>
    </row>
    <row r="7340" spans="1:3" x14ac:dyDescent="0.35">
      <c r="A7340" t="s">
        <v>150</v>
      </c>
      <c r="B7340">
        <v>1983</v>
      </c>
      <c r="C7340">
        <v>41.151224438273161</v>
      </c>
    </row>
    <row r="7341" spans="1:3" x14ac:dyDescent="0.35">
      <c r="A7341" t="s">
        <v>150</v>
      </c>
      <c r="B7341">
        <v>1984</v>
      </c>
      <c r="C7341">
        <v>38.661575085693535</v>
      </c>
    </row>
    <row r="7342" spans="1:3" x14ac:dyDescent="0.35">
      <c r="A7342" t="s">
        <v>150</v>
      </c>
      <c r="B7342">
        <v>1985</v>
      </c>
      <c r="C7342">
        <v>38.112966561137007</v>
      </c>
    </row>
    <row r="7343" spans="1:3" x14ac:dyDescent="0.35">
      <c r="A7343" t="s">
        <v>150</v>
      </c>
      <c r="B7343">
        <v>1986</v>
      </c>
      <c r="C7343">
        <v>53.459034305890427</v>
      </c>
    </row>
    <row r="7344" spans="1:3" x14ac:dyDescent="0.35">
      <c r="A7344" t="s">
        <v>150</v>
      </c>
      <c r="B7344">
        <v>1987</v>
      </c>
      <c r="C7344">
        <v>73.150597306502092</v>
      </c>
    </row>
    <row r="7345" spans="1:3" x14ac:dyDescent="0.35">
      <c r="A7345" t="s">
        <v>150</v>
      </c>
      <c r="B7345">
        <v>1988</v>
      </c>
      <c r="C7345">
        <v>86.015559600334839</v>
      </c>
    </row>
    <row r="7346" spans="1:3" x14ac:dyDescent="0.35">
      <c r="A7346" t="s">
        <v>150</v>
      </c>
      <c r="B7346">
        <v>1989</v>
      </c>
      <c r="C7346">
        <v>75.962325962325963</v>
      </c>
    </row>
    <row r="7347" spans="1:3" x14ac:dyDescent="0.35">
      <c r="A7347" t="s">
        <v>150</v>
      </c>
      <c r="B7347">
        <v>1990</v>
      </c>
      <c r="C7347">
        <v>96.691368635541139</v>
      </c>
    </row>
    <row r="7348" spans="1:3" x14ac:dyDescent="0.35">
      <c r="A7348" t="s">
        <v>150</v>
      </c>
      <c r="B7348">
        <v>1991</v>
      </c>
      <c r="C7348">
        <v>107.73608910908634</v>
      </c>
    </row>
    <row r="7349" spans="1:3" x14ac:dyDescent="0.35">
      <c r="A7349" t="s">
        <v>150</v>
      </c>
      <c r="B7349">
        <v>1992</v>
      </c>
      <c r="C7349">
        <v>123.21745622455188</v>
      </c>
    </row>
    <row r="7350" spans="1:3" x14ac:dyDescent="0.35">
      <c r="A7350" t="s">
        <v>150</v>
      </c>
      <c r="B7350">
        <v>1993</v>
      </c>
      <c r="C7350">
        <v>108.08919982509838</v>
      </c>
    </row>
    <row r="7351" spans="1:3" x14ac:dyDescent="0.35">
      <c r="A7351" t="s">
        <v>150</v>
      </c>
      <c r="B7351">
        <v>1994</v>
      </c>
      <c r="C7351">
        <v>126.00001205741742</v>
      </c>
    </row>
    <row r="7352" spans="1:3" x14ac:dyDescent="0.35">
      <c r="A7352" t="s">
        <v>150</v>
      </c>
      <c r="B7352">
        <v>1995</v>
      </c>
      <c r="C7352">
        <v>142.25681487593579</v>
      </c>
    </row>
    <row r="7353" spans="1:3" x14ac:dyDescent="0.35">
      <c r="A7353" t="s">
        <v>150</v>
      </c>
      <c r="B7353">
        <v>1996</v>
      </c>
      <c r="C7353">
        <v>141.49542159381693</v>
      </c>
    </row>
    <row r="7354" spans="1:3" x14ac:dyDescent="0.35">
      <c r="A7354" t="s">
        <v>150</v>
      </c>
      <c r="B7354">
        <v>1997</v>
      </c>
      <c r="C7354">
        <v>134.07576803200678</v>
      </c>
    </row>
    <row r="7355" spans="1:3" x14ac:dyDescent="0.35">
      <c r="A7355" t="s">
        <v>150</v>
      </c>
      <c r="B7355">
        <v>1998</v>
      </c>
      <c r="C7355">
        <v>143.13973905892291</v>
      </c>
    </row>
    <row r="7356" spans="1:3" x14ac:dyDescent="0.35">
      <c r="A7356" t="s">
        <v>150</v>
      </c>
      <c r="B7356">
        <v>1999</v>
      </c>
      <c r="C7356">
        <v>140.63094285589483</v>
      </c>
    </row>
    <row r="7357" spans="1:3" x14ac:dyDescent="0.35">
      <c r="A7357" t="s">
        <v>150</v>
      </c>
      <c r="B7357">
        <v>2000</v>
      </c>
      <c r="C7357">
        <v>128.06338676985445</v>
      </c>
    </row>
    <row r="7358" spans="1:3" x14ac:dyDescent="0.35">
      <c r="A7358" t="s">
        <v>150</v>
      </c>
      <c r="B7358">
        <v>2001</v>
      </c>
      <c r="C7358">
        <v>160.17753756118512</v>
      </c>
    </row>
    <row r="7359" spans="1:3" x14ac:dyDescent="0.35">
      <c r="A7359" t="s">
        <v>150</v>
      </c>
      <c r="B7359">
        <v>2002</v>
      </c>
      <c r="C7359">
        <v>153.40454566843911</v>
      </c>
    </row>
    <row r="7360" spans="1:3" x14ac:dyDescent="0.35">
      <c r="A7360" t="s">
        <v>150</v>
      </c>
      <c r="B7360">
        <v>2003</v>
      </c>
      <c r="C7360">
        <v>198.63797551786953</v>
      </c>
    </row>
    <row r="7361" spans="1:3" x14ac:dyDescent="0.35">
      <c r="A7361" t="s">
        <v>150</v>
      </c>
      <c r="B7361">
        <v>2004</v>
      </c>
      <c r="C7361">
        <v>234.67620271553892</v>
      </c>
    </row>
    <row r="7362" spans="1:3" x14ac:dyDescent="0.35">
      <c r="A7362" t="s">
        <v>150</v>
      </c>
      <c r="B7362">
        <v>2005</v>
      </c>
      <c r="C7362">
        <v>243.74471471919617</v>
      </c>
    </row>
    <row r="7363" spans="1:3" x14ac:dyDescent="0.35">
      <c r="A7363" t="s">
        <v>150</v>
      </c>
      <c r="B7363">
        <v>2006</v>
      </c>
      <c r="C7363">
        <v>247.13319224578839</v>
      </c>
    </row>
    <row r="7364" spans="1:3" x14ac:dyDescent="0.35">
      <c r="A7364" t="s">
        <v>150</v>
      </c>
      <c r="B7364">
        <v>2007</v>
      </c>
      <c r="C7364">
        <v>286.05136880370304</v>
      </c>
    </row>
    <row r="7365" spans="1:3" x14ac:dyDescent="0.35">
      <c r="A7365" t="s">
        <v>150</v>
      </c>
      <c r="B7365">
        <v>2008</v>
      </c>
      <c r="C7365">
        <v>175.68389057750758</v>
      </c>
    </row>
    <row r="7366" spans="1:3" x14ac:dyDescent="0.35">
      <c r="A7366" t="s">
        <v>150</v>
      </c>
      <c r="B7366">
        <v>2009</v>
      </c>
      <c r="C7366">
        <v>184.52495891465222</v>
      </c>
    </row>
    <row r="7367" spans="1:3" x14ac:dyDescent="0.35">
      <c r="A7367" t="s">
        <v>150</v>
      </c>
      <c r="B7367">
        <v>2010</v>
      </c>
      <c r="C7367">
        <v>179.39460561953263</v>
      </c>
    </row>
    <row r="7368" spans="1:3" x14ac:dyDescent="0.35">
      <c r="A7368" t="s">
        <v>150</v>
      </c>
      <c r="B7368">
        <v>2011</v>
      </c>
      <c r="C7368">
        <v>195.91161526645399</v>
      </c>
    </row>
    <row r="7369" spans="1:3" x14ac:dyDescent="0.35">
      <c r="A7369" t="s">
        <v>150</v>
      </c>
      <c r="B7369">
        <v>2012</v>
      </c>
      <c r="C7369">
        <v>183.0914795694172</v>
      </c>
    </row>
    <row r="7370" spans="1:3" x14ac:dyDescent="0.35">
      <c r="A7370" t="s">
        <v>150</v>
      </c>
      <c r="B7370">
        <v>2013</v>
      </c>
      <c r="C7370">
        <v>196.85484738282352</v>
      </c>
    </row>
    <row r="7371" spans="1:3" x14ac:dyDescent="0.35">
      <c r="A7371" t="s">
        <v>150</v>
      </c>
      <c r="B7371">
        <v>2014</v>
      </c>
      <c r="C7371">
        <v>164.11431828370533</v>
      </c>
    </row>
    <row r="7372" spans="1:3" x14ac:dyDescent="0.35">
      <c r="A7372" t="s">
        <v>150</v>
      </c>
      <c r="B7372">
        <v>2015</v>
      </c>
      <c r="C7372">
        <v>159.37118775646005</v>
      </c>
    </row>
    <row r="7373" spans="1:3" x14ac:dyDescent="0.35">
      <c r="A7373" t="s">
        <v>150</v>
      </c>
      <c r="B7373">
        <v>2016</v>
      </c>
      <c r="C7373">
        <v>165.91875087542317</v>
      </c>
    </row>
    <row r="7374" spans="1:3" x14ac:dyDescent="0.35">
      <c r="A7374" t="s">
        <v>150</v>
      </c>
      <c r="B7374">
        <v>2017</v>
      </c>
      <c r="C7374">
        <v>214.8980095595</v>
      </c>
    </row>
    <row r="7375" spans="1:3" x14ac:dyDescent="0.35">
      <c r="A7375" t="s">
        <v>150</v>
      </c>
      <c r="B7375">
        <v>2018</v>
      </c>
      <c r="C7375">
        <v>291.06381974198268</v>
      </c>
    </row>
    <row r="7376" spans="1:3" x14ac:dyDescent="0.35">
      <c r="A7376" t="s">
        <v>150</v>
      </c>
      <c r="B7376">
        <v>2019</v>
      </c>
      <c r="C7376">
        <v>324.30362740707568</v>
      </c>
    </row>
    <row r="7377" spans="1:3" x14ac:dyDescent="0.35">
      <c r="A7377" t="s">
        <v>150</v>
      </c>
      <c r="B7377">
        <v>2020</v>
      </c>
      <c r="C7377">
        <v>363.23264561723471</v>
      </c>
    </row>
    <row r="7378" spans="1:3" x14ac:dyDescent="0.35">
      <c r="A7378" t="s">
        <v>150</v>
      </c>
      <c r="B7378">
        <v>2021</v>
      </c>
      <c r="C7378">
        <v>353.48864711447487</v>
      </c>
    </row>
    <row r="7379" spans="1:3" x14ac:dyDescent="0.35">
      <c r="A7379" t="s">
        <v>150</v>
      </c>
      <c r="B7379">
        <v>2022</v>
      </c>
      <c r="C7379">
        <v>461.33684485094284</v>
      </c>
    </row>
    <row r="7380" spans="1:3" x14ac:dyDescent="0.35">
      <c r="A7380" t="s">
        <v>150</v>
      </c>
      <c r="B7380">
        <v>2023</v>
      </c>
      <c r="C7380">
        <v>583.52491994416619</v>
      </c>
    </row>
    <row r="7381" spans="1:3" x14ac:dyDescent="0.35">
      <c r="A7381" t="s">
        <v>150</v>
      </c>
      <c r="B7381">
        <v>2024</v>
      </c>
      <c r="C7381">
        <v>618.78500779921922</v>
      </c>
    </row>
    <row r="7382" spans="1:3" x14ac:dyDescent="0.35">
      <c r="A7382" t="s">
        <v>150</v>
      </c>
      <c r="B7382">
        <v>2025</v>
      </c>
      <c r="C7382">
        <v>855.40915551745138</v>
      </c>
    </row>
    <row r="7383" spans="1:3" x14ac:dyDescent="0.35">
      <c r="A7383" t="s">
        <v>151</v>
      </c>
      <c r="B7383">
        <v>1985</v>
      </c>
      <c r="C7383">
        <v>12.948712083085509</v>
      </c>
    </row>
    <row r="7384" spans="1:3" x14ac:dyDescent="0.35">
      <c r="A7384" t="s">
        <v>151</v>
      </c>
      <c r="B7384">
        <v>1986</v>
      </c>
      <c r="C7384">
        <v>16.531995101792916</v>
      </c>
    </row>
    <row r="7385" spans="1:3" x14ac:dyDescent="0.35">
      <c r="A7385" t="s">
        <v>151</v>
      </c>
      <c r="B7385">
        <v>1987</v>
      </c>
      <c r="C7385">
        <v>23.148953513223361</v>
      </c>
    </row>
    <row r="7386" spans="1:3" x14ac:dyDescent="0.35">
      <c r="A7386" t="s">
        <v>151</v>
      </c>
      <c r="B7386">
        <v>1988</v>
      </c>
      <c r="C7386">
        <v>22.383605510848607</v>
      </c>
    </row>
    <row r="7387" spans="1:3" x14ac:dyDescent="0.35">
      <c r="A7387" t="s">
        <v>151</v>
      </c>
      <c r="B7387">
        <v>1989</v>
      </c>
      <c r="C7387">
        <v>21.308781464883257</v>
      </c>
    </row>
    <row r="7388" spans="1:3" x14ac:dyDescent="0.35">
      <c r="A7388" t="s">
        <v>151</v>
      </c>
      <c r="B7388">
        <v>1990</v>
      </c>
      <c r="C7388">
        <v>21.152027665955206</v>
      </c>
    </row>
    <row r="7389" spans="1:3" x14ac:dyDescent="0.35">
      <c r="A7389" t="s">
        <v>151</v>
      </c>
      <c r="B7389">
        <v>1991</v>
      </c>
      <c r="C7389">
        <v>21.74481812471031</v>
      </c>
    </row>
    <row r="7390" spans="1:3" x14ac:dyDescent="0.35">
      <c r="A7390" t="s">
        <v>151</v>
      </c>
      <c r="B7390">
        <v>1992</v>
      </c>
      <c r="C7390">
        <v>26.692690806299638</v>
      </c>
    </row>
    <row r="7391" spans="1:3" x14ac:dyDescent="0.35">
      <c r="A7391" t="s">
        <v>151</v>
      </c>
      <c r="B7391">
        <v>1993</v>
      </c>
      <c r="C7391">
        <v>24.637705571557714</v>
      </c>
    </row>
    <row r="7392" spans="1:3" x14ac:dyDescent="0.35">
      <c r="A7392" t="s">
        <v>151</v>
      </c>
      <c r="B7392">
        <v>1994</v>
      </c>
      <c r="C7392">
        <v>27.87026214063151</v>
      </c>
    </row>
    <row r="7393" spans="1:3" x14ac:dyDescent="0.35">
      <c r="A7393" t="s">
        <v>151</v>
      </c>
      <c r="B7393">
        <v>1995</v>
      </c>
      <c r="C7393">
        <v>31.144859955132141</v>
      </c>
    </row>
    <row r="7394" spans="1:3" x14ac:dyDescent="0.35">
      <c r="A7394" t="s">
        <v>151</v>
      </c>
      <c r="B7394">
        <v>1996</v>
      </c>
      <c r="C7394">
        <v>33.29617481652982</v>
      </c>
    </row>
    <row r="7395" spans="1:3" x14ac:dyDescent="0.35">
      <c r="A7395" t="s">
        <v>151</v>
      </c>
      <c r="B7395">
        <v>1997</v>
      </c>
      <c r="C7395">
        <v>31.142214891181879</v>
      </c>
    </row>
    <row r="7396" spans="1:3" x14ac:dyDescent="0.35">
      <c r="A7396" t="s">
        <v>151</v>
      </c>
      <c r="B7396">
        <v>1998</v>
      </c>
      <c r="C7396">
        <v>29.081268414084555</v>
      </c>
    </row>
    <row r="7397" spans="1:3" x14ac:dyDescent="0.35">
      <c r="A7397" t="s">
        <v>151</v>
      </c>
      <c r="B7397">
        <v>1999</v>
      </c>
      <c r="C7397">
        <v>27.986620662638806</v>
      </c>
    </row>
    <row r="7398" spans="1:3" x14ac:dyDescent="0.35">
      <c r="A7398" t="s">
        <v>151</v>
      </c>
      <c r="B7398">
        <v>2000</v>
      </c>
      <c r="C7398">
        <v>25.353948051693564</v>
      </c>
    </row>
    <row r="7399" spans="1:3" x14ac:dyDescent="0.35">
      <c r="A7399" t="s">
        <v>151</v>
      </c>
      <c r="B7399">
        <v>2001</v>
      </c>
      <c r="C7399">
        <v>27.119323113904972</v>
      </c>
    </row>
    <row r="7400" spans="1:3" x14ac:dyDescent="0.35">
      <c r="A7400" t="s">
        <v>151</v>
      </c>
      <c r="B7400">
        <v>2002</v>
      </c>
      <c r="C7400">
        <v>28.403690796768569</v>
      </c>
    </row>
    <row r="7401" spans="1:3" x14ac:dyDescent="0.35">
      <c r="A7401" t="s">
        <v>151</v>
      </c>
      <c r="B7401">
        <v>2003</v>
      </c>
      <c r="C7401">
        <v>34.125502004604385</v>
      </c>
    </row>
    <row r="7402" spans="1:3" x14ac:dyDescent="0.35">
      <c r="A7402" t="s">
        <v>151</v>
      </c>
      <c r="B7402">
        <v>2004</v>
      </c>
      <c r="C7402">
        <v>40.526469188822929</v>
      </c>
    </row>
    <row r="7403" spans="1:3" x14ac:dyDescent="0.35">
      <c r="A7403" t="s">
        <v>151</v>
      </c>
      <c r="B7403">
        <v>2005</v>
      </c>
      <c r="C7403">
        <v>52.498963317582387</v>
      </c>
    </row>
    <row r="7404" spans="1:3" x14ac:dyDescent="0.35">
      <c r="A7404" t="s">
        <v>151</v>
      </c>
      <c r="B7404">
        <v>2006</v>
      </c>
      <c r="C7404">
        <v>44.434425837260321</v>
      </c>
    </row>
    <row r="7405" spans="1:3" x14ac:dyDescent="0.35">
      <c r="A7405" t="s">
        <v>151</v>
      </c>
      <c r="B7405">
        <v>2007</v>
      </c>
      <c r="C7405">
        <v>49.263377115655857</v>
      </c>
    </row>
    <row r="7406" spans="1:3" x14ac:dyDescent="0.35">
      <c r="A7406" t="s">
        <v>151</v>
      </c>
      <c r="B7406">
        <v>2008</v>
      </c>
      <c r="C7406">
        <v>56.032519134287909</v>
      </c>
    </row>
    <row r="7407" spans="1:3" x14ac:dyDescent="0.35">
      <c r="A7407" t="s">
        <v>151</v>
      </c>
      <c r="B7407">
        <v>2009</v>
      </c>
      <c r="C7407">
        <v>59.110111510426584</v>
      </c>
    </row>
    <row r="7408" spans="1:3" x14ac:dyDescent="0.35">
      <c r="A7408" t="s">
        <v>151</v>
      </c>
      <c r="B7408">
        <v>2010</v>
      </c>
      <c r="C7408">
        <v>58.728949930136615</v>
      </c>
    </row>
    <row r="7409" spans="1:3" x14ac:dyDescent="0.35">
      <c r="A7409" t="s">
        <v>151</v>
      </c>
      <c r="B7409">
        <v>2011</v>
      </c>
      <c r="C7409">
        <v>55.893126481361776</v>
      </c>
    </row>
    <row r="7410" spans="1:3" x14ac:dyDescent="0.35">
      <c r="A7410" t="s">
        <v>151</v>
      </c>
      <c r="B7410">
        <v>2012</v>
      </c>
      <c r="C7410">
        <v>49.922008906659947</v>
      </c>
    </row>
    <row r="7411" spans="1:3" x14ac:dyDescent="0.35">
      <c r="A7411" t="s">
        <v>151</v>
      </c>
      <c r="B7411">
        <v>2013</v>
      </c>
      <c r="C7411">
        <v>53.789438883423024</v>
      </c>
    </row>
    <row r="7412" spans="1:3" x14ac:dyDescent="0.35">
      <c r="A7412" t="s">
        <v>151</v>
      </c>
      <c r="B7412">
        <v>2014</v>
      </c>
      <c r="C7412">
        <v>56.514879916659893</v>
      </c>
    </row>
    <row r="7413" spans="1:3" x14ac:dyDescent="0.35">
      <c r="A7413" t="s">
        <v>151</v>
      </c>
      <c r="B7413">
        <v>2015</v>
      </c>
      <c r="C7413">
        <v>51.796606410114229</v>
      </c>
    </row>
    <row r="7414" spans="1:3" x14ac:dyDescent="0.35">
      <c r="A7414" t="s">
        <v>151</v>
      </c>
      <c r="B7414">
        <v>2016</v>
      </c>
      <c r="C7414">
        <v>59.672922989577785</v>
      </c>
    </row>
    <row r="7415" spans="1:3" x14ac:dyDescent="0.35">
      <c r="A7415" t="s">
        <v>151</v>
      </c>
      <c r="B7415">
        <v>2017</v>
      </c>
      <c r="C7415">
        <v>64.235888165733471</v>
      </c>
    </row>
    <row r="7416" spans="1:3" x14ac:dyDescent="0.35">
      <c r="A7416" t="s">
        <v>151</v>
      </c>
      <c r="B7416">
        <v>2018</v>
      </c>
      <c r="C7416">
        <v>66.869091037852769</v>
      </c>
    </row>
    <row r="7417" spans="1:3" x14ac:dyDescent="0.35">
      <c r="A7417" t="s">
        <v>151</v>
      </c>
      <c r="B7417">
        <v>2019</v>
      </c>
      <c r="C7417">
        <v>80.267577250335876</v>
      </c>
    </row>
    <row r="7418" spans="1:3" x14ac:dyDescent="0.35">
      <c r="A7418" t="s">
        <v>151</v>
      </c>
      <c r="B7418">
        <v>2020</v>
      </c>
      <c r="C7418">
        <v>86.287472928302748</v>
      </c>
    </row>
    <row r="7419" spans="1:3" x14ac:dyDescent="0.35">
      <c r="A7419" t="s">
        <v>151</v>
      </c>
      <c r="B7419">
        <v>2021</v>
      </c>
      <c r="C7419">
        <v>87.950567644276248</v>
      </c>
    </row>
    <row r="7420" spans="1:3" x14ac:dyDescent="0.35">
      <c r="A7420" t="s">
        <v>151</v>
      </c>
      <c r="B7420">
        <v>2022</v>
      </c>
      <c r="C7420">
        <v>79.422526441559313</v>
      </c>
    </row>
    <row r="7421" spans="1:3" x14ac:dyDescent="0.35">
      <c r="A7421" t="s">
        <v>151</v>
      </c>
      <c r="B7421">
        <v>2023</v>
      </c>
      <c r="C7421">
        <v>85.237917079010018</v>
      </c>
    </row>
    <row r="7422" spans="1:3" x14ac:dyDescent="0.35">
      <c r="A7422" t="s">
        <v>151</v>
      </c>
      <c r="B7422">
        <v>2024</v>
      </c>
      <c r="C7422">
        <v>93.626992927343835</v>
      </c>
    </row>
    <row r="7423" spans="1:3" x14ac:dyDescent="0.35">
      <c r="A7423" t="s">
        <v>151</v>
      </c>
      <c r="B7423">
        <v>2025</v>
      </c>
      <c r="C7423">
        <v>124.65762696568373</v>
      </c>
    </row>
    <row r="7424" spans="1:3" x14ac:dyDescent="0.35">
      <c r="A7424" t="s">
        <v>152</v>
      </c>
      <c r="B7424">
        <v>1949</v>
      </c>
      <c r="C7424">
        <v>231.34300386071445</v>
      </c>
    </row>
    <row r="7425" spans="1:3" x14ac:dyDescent="0.35">
      <c r="A7425" t="s">
        <v>152</v>
      </c>
      <c r="B7425">
        <v>1950</v>
      </c>
      <c r="C7425">
        <v>237.13145746827811</v>
      </c>
    </row>
    <row r="7426" spans="1:3" x14ac:dyDescent="0.35">
      <c r="A7426" t="s">
        <v>152</v>
      </c>
      <c r="B7426">
        <v>1951</v>
      </c>
      <c r="C7426">
        <v>278.94813148066532</v>
      </c>
    </row>
    <row r="7427" spans="1:3" x14ac:dyDescent="0.35">
      <c r="A7427" t="s">
        <v>152</v>
      </c>
      <c r="B7427">
        <v>1952</v>
      </c>
      <c r="C7427">
        <v>329.74552877589366</v>
      </c>
    </row>
    <row r="7428" spans="1:3" x14ac:dyDescent="0.35">
      <c r="A7428" t="s">
        <v>152</v>
      </c>
      <c r="B7428">
        <v>1953</v>
      </c>
      <c r="C7428">
        <v>349.98492194205392</v>
      </c>
    </row>
    <row r="7429" spans="1:3" x14ac:dyDescent="0.35">
      <c r="A7429" t="s">
        <v>152</v>
      </c>
      <c r="B7429">
        <v>1954</v>
      </c>
      <c r="C7429">
        <v>416.5603470273029</v>
      </c>
    </row>
    <row r="7430" spans="1:3" x14ac:dyDescent="0.35">
      <c r="A7430" t="s">
        <v>152</v>
      </c>
      <c r="B7430">
        <v>1955</v>
      </c>
      <c r="C7430">
        <v>447.10501287434181</v>
      </c>
    </row>
    <row r="7431" spans="1:3" x14ac:dyDescent="0.35">
      <c r="A7431" t="s">
        <v>152</v>
      </c>
      <c r="B7431">
        <v>1956</v>
      </c>
      <c r="C7431">
        <v>487.89695887169739</v>
      </c>
    </row>
    <row r="7432" spans="1:3" x14ac:dyDescent="0.35">
      <c r="A7432" t="s">
        <v>152</v>
      </c>
      <c r="B7432">
        <v>1957</v>
      </c>
      <c r="C7432">
        <v>485.51346586559652</v>
      </c>
    </row>
    <row r="7433" spans="1:3" x14ac:dyDescent="0.35">
      <c r="A7433" t="s">
        <v>152</v>
      </c>
      <c r="B7433">
        <v>1958</v>
      </c>
      <c r="C7433">
        <v>435.81386717390808</v>
      </c>
    </row>
    <row r="7434" spans="1:3" x14ac:dyDescent="0.35">
      <c r="A7434" t="s">
        <v>152</v>
      </c>
      <c r="B7434">
        <v>1959</v>
      </c>
      <c r="C7434">
        <v>396.03099120833241</v>
      </c>
    </row>
    <row r="7435" spans="1:3" x14ac:dyDescent="0.35">
      <c r="A7435" t="s">
        <v>152</v>
      </c>
      <c r="B7435">
        <v>1960</v>
      </c>
      <c r="C7435">
        <v>454.71943213714076</v>
      </c>
    </row>
    <row r="7436" spans="1:3" x14ac:dyDescent="0.35">
      <c r="A7436" t="s">
        <v>152</v>
      </c>
      <c r="B7436">
        <v>1961</v>
      </c>
      <c r="C7436">
        <v>551.53051983336354</v>
      </c>
    </row>
    <row r="7437" spans="1:3" x14ac:dyDescent="0.35">
      <c r="A7437" t="s">
        <v>152</v>
      </c>
      <c r="B7437">
        <v>1962</v>
      </c>
      <c r="C7437">
        <v>603.86685173009971</v>
      </c>
    </row>
    <row r="7438" spans="1:3" x14ac:dyDescent="0.35">
      <c r="A7438" t="s">
        <v>152</v>
      </c>
      <c r="B7438">
        <v>1963</v>
      </c>
      <c r="C7438">
        <v>637.37307327050928</v>
      </c>
    </row>
    <row r="7439" spans="1:3" x14ac:dyDescent="0.35">
      <c r="A7439" t="s">
        <v>152</v>
      </c>
      <c r="B7439">
        <v>1964</v>
      </c>
      <c r="C7439">
        <v>735.38364136654729</v>
      </c>
    </row>
    <row r="7440" spans="1:3" x14ac:dyDescent="0.35">
      <c r="A7440" t="s">
        <v>152</v>
      </c>
      <c r="B7440">
        <v>1965</v>
      </c>
      <c r="C7440">
        <v>749.99391238707483</v>
      </c>
    </row>
    <row r="7441" spans="1:3" x14ac:dyDescent="0.35">
      <c r="A7441" t="s">
        <v>152</v>
      </c>
      <c r="B7441">
        <v>1966</v>
      </c>
      <c r="C7441">
        <v>770.69179633282192</v>
      </c>
    </row>
    <row r="7442" spans="1:3" x14ac:dyDescent="0.35">
      <c r="A7442" t="s">
        <v>152</v>
      </c>
      <c r="B7442">
        <v>1967</v>
      </c>
      <c r="C7442">
        <v>883.92139674190958</v>
      </c>
    </row>
    <row r="7443" spans="1:3" x14ac:dyDescent="0.35">
      <c r="A7443" t="s">
        <v>152</v>
      </c>
      <c r="B7443">
        <v>1968</v>
      </c>
      <c r="C7443">
        <v>905.83680327270076</v>
      </c>
    </row>
    <row r="7444" spans="1:3" x14ac:dyDescent="0.35">
      <c r="A7444" t="s">
        <v>152</v>
      </c>
      <c r="B7444">
        <v>1969</v>
      </c>
      <c r="C7444">
        <v>1017.2401198042224</v>
      </c>
    </row>
    <row r="7445" spans="1:3" x14ac:dyDescent="0.35">
      <c r="A7445" t="s">
        <v>152</v>
      </c>
      <c r="B7445">
        <v>1970</v>
      </c>
      <c r="C7445">
        <v>1079.9425329339861</v>
      </c>
    </row>
    <row r="7446" spans="1:3" x14ac:dyDescent="0.35">
      <c r="A7446" t="s">
        <v>152</v>
      </c>
      <c r="B7446">
        <v>1971</v>
      </c>
      <c r="C7446">
        <v>1249.3890900888484</v>
      </c>
    </row>
    <row r="7447" spans="1:3" x14ac:dyDescent="0.35">
      <c r="A7447" t="s">
        <v>152</v>
      </c>
      <c r="B7447">
        <v>1972</v>
      </c>
      <c r="C7447">
        <v>1522.2361834922858</v>
      </c>
    </row>
    <row r="7448" spans="1:3" x14ac:dyDescent="0.35">
      <c r="A7448" t="s">
        <v>152</v>
      </c>
      <c r="B7448">
        <v>1973</v>
      </c>
      <c r="C7448">
        <v>1917.1192760352208</v>
      </c>
    </row>
    <row r="7449" spans="1:3" x14ac:dyDescent="0.35">
      <c r="A7449" t="s">
        <v>152</v>
      </c>
      <c r="B7449">
        <v>1974</v>
      </c>
      <c r="C7449">
        <v>2285.3582963096546</v>
      </c>
    </row>
    <row r="7450" spans="1:3" x14ac:dyDescent="0.35">
      <c r="A7450" t="s">
        <v>152</v>
      </c>
      <c r="B7450">
        <v>1975</v>
      </c>
      <c r="C7450">
        <v>2814.5450109357712</v>
      </c>
    </row>
    <row r="7451" spans="1:3" x14ac:dyDescent="0.35">
      <c r="A7451" t="s">
        <v>152</v>
      </c>
      <c r="B7451">
        <v>1976</v>
      </c>
      <c r="C7451">
        <v>2898.0554606299538</v>
      </c>
    </row>
    <row r="7452" spans="1:3" x14ac:dyDescent="0.35">
      <c r="A7452" t="s">
        <v>152</v>
      </c>
      <c r="B7452">
        <v>1977</v>
      </c>
      <c r="C7452">
        <v>3704.8011565157267</v>
      </c>
    </row>
    <row r="7453" spans="1:3" x14ac:dyDescent="0.35">
      <c r="A7453" t="s">
        <v>152</v>
      </c>
      <c r="B7453">
        <v>1978</v>
      </c>
      <c r="C7453">
        <v>4226.9688762679634</v>
      </c>
    </row>
    <row r="7454" spans="1:3" x14ac:dyDescent="0.35">
      <c r="A7454" t="s">
        <v>152</v>
      </c>
      <c r="B7454">
        <v>1979</v>
      </c>
      <c r="C7454">
        <v>5038.0158171285957</v>
      </c>
    </row>
    <row r="7455" spans="1:3" x14ac:dyDescent="0.35">
      <c r="A7455" t="s">
        <v>152</v>
      </c>
      <c r="B7455">
        <v>1980</v>
      </c>
      <c r="C7455">
        <v>5269.3068253363008</v>
      </c>
    </row>
    <row r="7456" spans="1:3" x14ac:dyDescent="0.35">
      <c r="A7456" t="s">
        <v>152</v>
      </c>
      <c r="B7456">
        <v>1981</v>
      </c>
      <c r="C7456">
        <v>4527.1004265766996</v>
      </c>
    </row>
    <row r="7457" spans="1:3" x14ac:dyDescent="0.35">
      <c r="A7457" t="s">
        <v>152</v>
      </c>
      <c r="B7457">
        <v>1982</v>
      </c>
      <c r="C7457">
        <v>4829.5356072922941</v>
      </c>
    </row>
    <row r="7458" spans="1:3" x14ac:dyDescent="0.35">
      <c r="A7458" t="s">
        <v>152</v>
      </c>
      <c r="B7458">
        <v>1983</v>
      </c>
      <c r="C7458">
        <v>4256.6343666756748</v>
      </c>
    </row>
    <row r="7459" spans="1:3" x14ac:dyDescent="0.35">
      <c r="A7459" t="s">
        <v>152</v>
      </c>
      <c r="B7459">
        <v>1984</v>
      </c>
      <c r="C7459">
        <v>3977.2945798192359</v>
      </c>
    </row>
    <row r="7460" spans="1:3" x14ac:dyDescent="0.35">
      <c r="A7460" t="s">
        <v>152</v>
      </c>
      <c r="B7460">
        <v>1985</v>
      </c>
      <c r="C7460">
        <v>3884.1818218008348</v>
      </c>
    </row>
    <row r="7461" spans="1:3" x14ac:dyDescent="0.35">
      <c r="A7461" t="s">
        <v>152</v>
      </c>
      <c r="B7461">
        <v>1986</v>
      </c>
      <c r="C7461">
        <v>5351.0168470097233</v>
      </c>
    </row>
    <row r="7462" spans="1:3" x14ac:dyDescent="0.35">
      <c r="A7462" t="s">
        <v>152</v>
      </c>
      <c r="B7462">
        <v>1987</v>
      </c>
      <c r="C7462">
        <v>6542.9172246560411</v>
      </c>
    </row>
    <row r="7463" spans="1:3" x14ac:dyDescent="0.35">
      <c r="A7463" t="s">
        <v>152</v>
      </c>
      <c r="B7463">
        <v>1988</v>
      </c>
      <c r="C7463">
        <v>6728.8117074388974</v>
      </c>
    </row>
    <row r="7464" spans="1:3" x14ac:dyDescent="0.35">
      <c r="A7464" t="s">
        <v>152</v>
      </c>
      <c r="B7464">
        <v>1989</v>
      </c>
      <c r="C7464">
        <v>6399.2376985895971</v>
      </c>
    </row>
    <row r="7465" spans="1:3" x14ac:dyDescent="0.35">
      <c r="A7465" t="s">
        <v>152</v>
      </c>
      <c r="B7465">
        <v>1990</v>
      </c>
      <c r="C7465">
        <v>7420.8496357891199</v>
      </c>
    </row>
    <row r="7466" spans="1:3" x14ac:dyDescent="0.35">
      <c r="A7466" t="s">
        <v>152</v>
      </c>
      <c r="B7466">
        <v>1991</v>
      </c>
      <c r="C7466">
        <v>7246.1923250096061</v>
      </c>
    </row>
    <row r="7467" spans="1:3" x14ac:dyDescent="0.35">
      <c r="A7467" t="s">
        <v>152</v>
      </c>
      <c r="B7467">
        <v>1992</v>
      </c>
      <c r="C7467">
        <v>7904.5612733518219</v>
      </c>
    </row>
    <row r="7468" spans="1:3" x14ac:dyDescent="0.35">
      <c r="A7468" t="s">
        <v>152</v>
      </c>
      <c r="B7468">
        <v>1993</v>
      </c>
      <c r="C7468">
        <v>7054.8689618513345</v>
      </c>
    </row>
    <row r="7469" spans="1:3" x14ac:dyDescent="0.35">
      <c r="A7469" t="s">
        <v>152</v>
      </c>
      <c r="B7469">
        <v>1994</v>
      </c>
      <c r="C7469">
        <v>7137.373800973025</v>
      </c>
    </row>
    <row r="7470" spans="1:3" x14ac:dyDescent="0.35">
      <c r="A7470" t="s">
        <v>152</v>
      </c>
      <c r="B7470">
        <v>1995</v>
      </c>
      <c r="C7470">
        <v>8011.5395594984511</v>
      </c>
    </row>
    <row r="7471" spans="1:3" x14ac:dyDescent="0.35">
      <c r="A7471" t="s">
        <v>152</v>
      </c>
      <c r="B7471">
        <v>1996</v>
      </c>
      <c r="C7471">
        <v>7829.0047279377068</v>
      </c>
    </row>
    <row r="7472" spans="1:3" x14ac:dyDescent="0.35">
      <c r="A7472" t="s">
        <v>152</v>
      </c>
      <c r="B7472">
        <v>1997</v>
      </c>
      <c r="C7472">
        <v>6839.1367985471761</v>
      </c>
    </row>
    <row r="7473" spans="1:3" x14ac:dyDescent="0.35">
      <c r="A7473" t="s">
        <v>152</v>
      </c>
      <c r="B7473">
        <v>1998</v>
      </c>
      <c r="C7473">
        <v>6836.0848231296222</v>
      </c>
    </row>
    <row r="7474" spans="1:3" x14ac:dyDescent="0.35">
      <c r="A7474" t="s">
        <v>152</v>
      </c>
      <c r="B7474">
        <v>1999</v>
      </c>
      <c r="C7474">
        <v>7026.4332903272543</v>
      </c>
    </row>
    <row r="7475" spans="1:3" x14ac:dyDescent="0.35">
      <c r="A7475" t="s">
        <v>152</v>
      </c>
      <c r="B7475">
        <v>2000</v>
      </c>
      <c r="C7475">
        <v>5971.8076285240468</v>
      </c>
    </row>
    <row r="7476" spans="1:3" x14ac:dyDescent="0.35">
      <c r="A7476" t="s">
        <v>152</v>
      </c>
      <c r="B7476">
        <v>2001</v>
      </c>
      <c r="C7476">
        <v>6200.3919428014069</v>
      </c>
    </row>
    <row r="7477" spans="1:3" x14ac:dyDescent="0.35">
      <c r="A7477" t="s">
        <v>152</v>
      </c>
      <c r="B7477">
        <v>2002</v>
      </c>
      <c r="C7477">
        <v>6728.1539692249762</v>
      </c>
    </row>
    <row r="7478" spans="1:3" x14ac:dyDescent="0.35">
      <c r="A7478" t="s">
        <v>152</v>
      </c>
      <c r="B7478">
        <v>2003</v>
      </c>
      <c r="C7478">
        <v>8356.338470081284</v>
      </c>
    </row>
    <row r="7479" spans="1:3" x14ac:dyDescent="0.35">
      <c r="A7479" t="s">
        <v>152</v>
      </c>
      <c r="B7479">
        <v>2004</v>
      </c>
      <c r="C7479">
        <v>9377.1147243796295</v>
      </c>
    </row>
    <row r="7480" spans="1:3" x14ac:dyDescent="0.35">
      <c r="A7480" t="s">
        <v>152</v>
      </c>
      <c r="B7480">
        <v>2005</v>
      </c>
      <c r="C7480">
        <v>9566.9800527284497</v>
      </c>
    </row>
    <row r="7481" spans="1:3" x14ac:dyDescent="0.35">
      <c r="A7481" t="s">
        <v>152</v>
      </c>
      <c r="B7481">
        <v>2006</v>
      </c>
      <c r="C7481">
        <v>10217.765740314449</v>
      </c>
    </row>
    <row r="7482" spans="1:3" x14ac:dyDescent="0.35">
      <c r="A7482" t="s">
        <v>152</v>
      </c>
      <c r="B7482">
        <v>2007</v>
      </c>
      <c r="C7482">
        <v>11480.377423566801</v>
      </c>
    </row>
    <row r="7483" spans="1:3" x14ac:dyDescent="0.35">
      <c r="A7483" t="s">
        <v>152</v>
      </c>
      <c r="B7483">
        <v>2008</v>
      </c>
      <c r="C7483">
        <v>12374.848939832278</v>
      </c>
    </row>
    <row r="7484" spans="1:3" x14ac:dyDescent="0.35">
      <c r="A7484" t="s">
        <v>152</v>
      </c>
      <c r="B7484">
        <v>2009</v>
      </c>
      <c r="C7484">
        <v>12131.812075688726</v>
      </c>
    </row>
    <row r="7485" spans="1:3" x14ac:dyDescent="0.35">
      <c r="A7485" t="s">
        <v>152</v>
      </c>
      <c r="B7485">
        <v>2010</v>
      </c>
      <c r="C7485">
        <v>11220.523280069401</v>
      </c>
    </row>
    <row r="7486" spans="1:3" x14ac:dyDescent="0.35">
      <c r="A7486" t="s">
        <v>152</v>
      </c>
      <c r="B7486">
        <v>2011</v>
      </c>
      <c r="C7486">
        <v>11647.934608086411</v>
      </c>
    </row>
    <row r="7487" spans="1:3" x14ac:dyDescent="0.35">
      <c r="A7487" t="s">
        <v>152</v>
      </c>
      <c r="B7487">
        <v>2012</v>
      </c>
      <c r="C7487">
        <v>10364.720786746395</v>
      </c>
    </row>
    <row r="7488" spans="1:3" x14ac:dyDescent="0.35">
      <c r="A7488" t="s">
        <v>152</v>
      </c>
      <c r="B7488">
        <v>2013</v>
      </c>
      <c r="C7488">
        <v>10226.260324845085</v>
      </c>
    </row>
    <row r="7489" spans="1:3" x14ac:dyDescent="0.35">
      <c r="A7489" t="s">
        <v>152</v>
      </c>
      <c r="B7489">
        <v>2014</v>
      </c>
      <c r="C7489">
        <v>10332.602877924437</v>
      </c>
    </row>
    <row r="7490" spans="1:3" x14ac:dyDescent="0.35">
      <c r="A7490" t="s">
        <v>152</v>
      </c>
      <c r="B7490">
        <v>2015</v>
      </c>
      <c r="C7490">
        <v>8667.8496173893764</v>
      </c>
    </row>
    <row r="7491" spans="1:3" x14ac:dyDescent="0.35">
      <c r="A7491" t="s">
        <v>152</v>
      </c>
      <c r="B7491">
        <v>2016</v>
      </c>
      <c r="C7491">
        <v>9115.240931644712</v>
      </c>
    </row>
    <row r="7492" spans="1:3" x14ac:dyDescent="0.35">
      <c r="A7492" t="s">
        <v>152</v>
      </c>
      <c r="B7492">
        <v>2017</v>
      </c>
      <c r="C7492">
        <v>9580.6854982163022</v>
      </c>
    </row>
    <row r="7493" spans="1:3" x14ac:dyDescent="0.35">
      <c r="A7493" t="s">
        <v>152</v>
      </c>
      <c r="B7493">
        <v>2018</v>
      </c>
      <c r="C7493">
        <v>11114.927469518312</v>
      </c>
    </row>
    <row r="7494" spans="1:3" x14ac:dyDescent="0.35">
      <c r="A7494" t="s">
        <v>152</v>
      </c>
      <c r="B7494">
        <v>2019</v>
      </c>
      <c r="C7494">
        <v>12000.671742051052</v>
      </c>
    </row>
    <row r="7495" spans="1:3" x14ac:dyDescent="0.35">
      <c r="A7495" t="s">
        <v>152</v>
      </c>
      <c r="B7495">
        <v>2020</v>
      </c>
      <c r="C7495">
        <v>13085.717542459819</v>
      </c>
    </row>
    <row r="7496" spans="1:3" x14ac:dyDescent="0.35">
      <c r="A7496" t="s">
        <v>152</v>
      </c>
      <c r="B7496">
        <v>2021</v>
      </c>
      <c r="C7496">
        <v>14395.695364238411</v>
      </c>
    </row>
    <row r="7497" spans="1:3" x14ac:dyDescent="0.35">
      <c r="A7497" t="s">
        <v>152</v>
      </c>
      <c r="B7497">
        <v>2022</v>
      </c>
      <c r="C7497">
        <v>13632.443393606907</v>
      </c>
    </row>
    <row r="7498" spans="1:3" x14ac:dyDescent="0.35">
      <c r="A7498" t="s">
        <v>152</v>
      </c>
      <c r="B7498">
        <v>2023</v>
      </c>
      <c r="C7498">
        <v>16625.360305270937</v>
      </c>
    </row>
    <row r="7499" spans="1:3" x14ac:dyDescent="0.35">
      <c r="A7499" t="s">
        <v>152</v>
      </c>
      <c r="B7499">
        <v>2024</v>
      </c>
      <c r="C7499">
        <v>23577.493750781268</v>
      </c>
    </row>
    <row r="7500" spans="1:3" x14ac:dyDescent="0.35">
      <c r="A7500" t="s">
        <v>152</v>
      </c>
      <c r="B7500">
        <v>2025</v>
      </c>
      <c r="C7500">
        <v>28944.340410170793</v>
      </c>
    </row>
    <row r="7501" spans="1:3" x14ac:dyDescent="0.35">
      <c r="A7501" t="s">
        <v>153</v>
      </c>
      <c r="B7501">
        <v>1949</v>
      </c>
      <c r="C7501">
        <v>67.17745742401685</v>
      </c>
    </row>
    <row r="7502" spans="1:3" x14ac:dyDescent="0.35">
      <c r="A7502" t="s">
        <v>153</v>
      </c>
      <c r="B7502">
        <v>1950</v>
      </c>
      <c r="C7502">
        <v>49.979980008007999</v>
      </c>
    </row>
    <row r="7503" spans="1:3" x14ac:dyDescent="0.35">
      <c r="A7503" t="s">
        <v>153</v>
      </c>
      <c r="B7503">
        <v>1951</v>
      </c>
      <c r="C7503">
        <v>80.079967968012809</v>
      </c>
    </row>
    <row r="7504" spans="1:3" x14ac:dyDescent="0.35">
      <c r="A7504" t="s">
        <v>153</v>
      </c>
      <c r="B7504">
        <v>1952</v>
      </c>
      <c r="C7504">
        <v>116.33995346401861</v>
      </c>
    </row>
    <row r="7505" spans="1:3" x14ac:dyDescent="0.35">
      <c r="A7505" t="s">
        <v>153</v>
      </c>
      <c r="B7505">
        <v>1953</v>
      </c>
      <c r="C7505">
        <v>149.3799402480239</v>
      </c>
    </row>
    <row r="7506" spans="1:3" x14ac:dyDescent="0.35">
      <c r="A7506" t="s">
        <v>153</v>
      </c>
      <c r="B7506">
        <v>1954</v>
      </c>
      <c r="C7506">
        <v>159.73993610402556</v>
      </c>
    </row>
    <row r="7507" spans="1:3" x14ac:dyDescent="0.35">
      <c r="A7507" t="s">
        <v>153</v>
      </c>
      <c r="B7507">
        <v>1955</v>
      </c>
      <c r="C7507">
        <v>133.41994663202135</v>
      </c>
    </row>
    <row r="7508" spans="1:3" x14ac:dyDescent="0.35">
      <c r="A7508" t="s">
        <v>153</v>
      </c>
      <c r="B7508">
        <v>1956</v>
      </c>
      <c r="C7508">
        <v>135.37994584802166</v>
      </c>
    </row>
    <row r="7509" spans="1:3" x14ac:dyDescent="0.35">
      <c r="A7509" t="s">
        <v>153</v>
      </c>
      <c r="B7509">
        <v>1957</v>
      </c>
      <c r="C7509">
        <v>146.85994125602349</v>
      </c>
    </row>
    <row r="7510" spans="1:3" x14ac:dyDescent="0.35">
      <c r="A7510" t="s">
        <v>153</v>
      </c>
      <c r="B7510">
        <v>1958</v>
      </c>
      <c r="C7510">
        <v>143.35994265602292</v>
      </c>
    </row>
    <row r="7511" spans="1:3" x14ac:dyDescent="0.35">
      <c r="A7511" t="s">
        <v>153</v>
      </c>
      <c r="B7511">
        <v>1959</v>
      </c>
      <c r="C7511">
        <v>154.97993800802482</v>
      </c>
    </row>
    <row r="7512" spans="1:3" x14ac:dyDescent="0.35">
      <c r="A7512" t="s">
        <v>153</v>
      </c>
      <c r="B7512">
        <v>1960</v>
      </c>
      <c r="C7512">
        <v>148.11994075202369</v>
      </c>
    </row>
    <row r="7513" spans="1:3" x14ac:dyDescent="0.35">
      <c r="A7513" t="s">
        <v>153</v>
      </c>
      <c r="B7513">
        <v>1961</v>
      </c>
      <c r="C7513">
        <v>165.05993397602643</v>
      </c>
    </row>
    <row r="7514" spans="1:3" x14ac:dyDescent="0.35">
      <c r="A7514" t="s">
        <v>153</v>
      </c>
      <c r="B7514">
        <v>1962</v>
      </c>
      <c r="C7514">
        <v>191.93992322403071</v>
      </c>
    </row>
    <row r="7515" spans="1:3" x14ac:dyDescent="0.35">
      <c r="A7515" t="s">
        <v>153</v>
      </c>
      <c r="B7515">
        <v>1963</v>
      </c>
      <c r="C7515">
        <v>205.09991796003283</v>
      </c>
    </row>
    <row r="7516" spans="1:3" x14ac:dyDescent="0.35">
      <c r="A7516" t="s">
        <v>153</v>
      </c>
      <c r="B7516">
        <v>1964</v>
      </c>
      <c r="C7516">
        <v>219.79991208003517</v>
      </c>
    </row>
    <row r="7517" spans="1:3" x14ac:dyDescent="0.35">
      <c r="A7517" t="s">
        <v>153</v>
      </c>
      <c r="B7517">
        <v>1965</v>
      </c>
      <c r="C7517">
        <v>265.5798937680425</v>
      </c>
    </row>
    <row r="7518" spans="1:3" x14ac:dyDescent="0.35">
      <c r="A7518" t="s">
        <v>153</v>
      </c>
      <c r="B7518">
        <v>1966</v>
      </c>
      <c r="C7518">
        <v>272.57989096804363</v>
      </c>
    </row>
    <row r="7519" spans="1:3" x14ac:dyDescent="0.35">
      <c r="A7519" t="s">
        <v>153</v>
      </c>
      <c r="B7519">
        <v>1967</v>
      </c>
      <c r="C7519">
        <v>293.57988256804697</v>
      </c>
    </row>
    <row r="7520" spans="1:3" x14ac:dyDescent="0.35">
      <c r="A7520" t="s">
        <v>153</v>
      </c>
      <c r="B7520">
        <v>1968</v>
      </c>
      <c r="C7520">
        <v>321.99987120005153</v>
      </c>
    </row>
    <row r="7521" spans="1:3" x14ac:dyDescent="0.35">
      <c r="A7521" t="s">
        <v>153</v>
      </c>
      <c r="B7521">
        <v>1969</v>
      </c>
      <c r="C7521">
        <v>350.27985988805602</v>
      </c>
    </row>
    <row r="7522" spans="1:3" x14ac:dyDescent="0.35">
      <c r="A7522" t="s">
        <v>153</v>
      </c>
      <c r="B7522">
        <v>1970</v>
      </c>
      <c r="C7522">
        <v>388.35984465606214</v>
      </c>
    </row>
    <row r="7523" spans="1:3" x14ac:dyDescent="0.35">
      <c r="A7523" t="s">
        <v>153</v>
      </c>
      <c r="B7523">
        <v>1971</v>
      </c>
      <c r="C7523">
        <v>428.29344478600211</v>
      </c>
    </row>
    <row r="7524" spans="1:3" x14ac:dyDescent="0.35">
      <c r="A7524" t="s">
        <v>153</v>
      </c>
      <c r="B7524">
        <v>1972</v>
      </c>
      <c r="C7524">
        <v>491.63283117671608</v>
      </c>
    </row>
    <row r="7525" spans="1:3" x14ac:dyDescent="0.35">
      <c r="A7525" t="s">
        <v>153</v>
      </c>
      <c r="B7525">
        <v>1973</v>
      </c>
      <c r="C7525">
        <v>607.89166520691731</v>
      </c>
    </row>
    <row r="7526" spans="1:3" x14ac:dyDescent="0.35">
      <c r="A7526" t="s">
        <v>153</v>
      </c>
      <c r="B7526">
        <v>1974</v>
      </c>
      <c r="C7526">
        <v>710.86753638728385</v>
      </c>
    </row>
    <row r="7527" spans="1:3" x14ac:dyDescent="0.35">
      <c r="A7527" t="s">
        <v>153</v>
      </c>
      <c r="B7527">
        <v>1975</v>
      </c>
      <c r="C7527">
        <v>912.77114334581995</v>
      </c>
    </row>
    <row r="7528" spans="1:3" x14ac:dyDescent="0.35">
      <c r="A7528" t="s">
        <v>153</v>
      </c>
      <c r="B7528">
        <v>1976</v>
      </c>
      <c r="C7528">
        <v>977.36286131087206</v>
      </c>
    </row>
    <row r="7529" spans="1:3" x14ac:dyDescent="0.35">
      <c r="A7529" t="s">
        <v>153</v>
      </c>
      <c r="B7529">
        <v>1977</v>
      </c>
      <c r="C7529">
        <v>1114.6801916032684</v>
      </c>
    </row>
    <row r="7530" spans="1:3" x14ac:dyDescent="0.35">
      <c r="A7530" t="s">
        <v>153</v>
      </c>
      <c r="B7530">
        <v>1978</v>
      </c>
      <c r="C7530">
        <v>1307.4538604606801</v>
      </c>
    </row>
    <row r="7531" spans="1:3" x14ac:dyDescent="0.35">
      <c r="A7531" t="s">
        <v>153</v>
      </c>
      <c r="B7531">
        <v>1979</v>
      </c>
      <c r="C7531">
        <v>1453.771373618453</v>
      </c>
    </row>
    <row r="7532" spans="1:3" x14ac:dyDescent="0.35">
      <c r="A7532" t="s">
        <v>153</v>
      </c>
      <c r="B7532">
        <v>1980</v>
      </c>
      <c r="C7532">
        <v>1668.6845291361794</v>
      </c>
    </row>
    <row r="7533" spans="1:3" x14ac:dyDescent="0.35">
      <c r="A7533" t="s">
        <v>153</v>
      </c>
      <c r="B7533">
        <v>1981</v>
      </c>
      <c r="C7533">
        <v>1649.6181729799232</v>
      </c>
    </row>
    <row r="7534" spans="1:3" x14ac:dyDescent="0.35">
      <c r="A7534" t="s">
        <v>153</v>
      </c>
      <c r="B7534">
        <v>1982</v>
      </c>
      <c r="C7534">
        <v>1697.5440151347295</v>
      </c>
    </row>
    <row r="7535" spans="1:3" x14ac:dyDescent="0.35">
      <c r="A7535" t="s">
        <v>153</v>
      </c>
      <c r="B7535">
        <v>1983</v>
      </c>
      <c r="C7535">
        <v>1698.7899462335381</v>
      </c>
    </row>
    <row r="7536" spans="1:3" x14ac:dyDescent="0.35">
      <c r="A7536" t="s">
        <v>153</v>
      </c>
      <c r="B7536">
        <v>1984</v>
      </c>
      <c r="C7536">
        <v>1554.6238050544878</v>
      </c>
    </row>
    <row r="7537" spans="1:3" x14ac:dyDescent="0.35">
      <c r="A7537" t="s">
        <v>153</v>
      </c>
      <c r="B7537">
        <v>1985</v>
      </c>
      <c r="C7537">
        <v>1796.6251920676777</v>
      </c>
    </row>
    <row r="7538" spans="1:3" x14ac:dyDescent="0.35">
      <c r="A7538" t="s">
        <v>153</v>
      </c>
      <c r="B7538">
        <v>1986</v>
      </c>
      <c r="C7538">
        <v>2168.1627751618043</v>
      </c>
    </row>
    <row r="7539" spans="1:3" x14ac:dyDescent="0.35">
      <c r="A7539" t="s">
        <v>153</v>
      </c>
      <c r="B7539">
        <v>1987</v>
      </c>
      <c r="C7539">
        <v>2753.4156097633377</v>
      </c>
    </row>
    <row r="7540" spans="1:3" x14ac:dyDescent="0.35">
      <c r="A7540" t="s">
        <v>153</v>
      </c>
      <c r="B7540">
        <v>1988</v>
      </c>
      <c r="C7540">
        <v>2894.7457257809597</v>
      </c>
    </row>
    <row r="7541" spans="1:3" x14ac:dyDescent="0.35">
      <c r="A7541" t="s">
        <v>153</v>
      </c>
      <c r="B7541">
        <v>1989</v>
      </c>
      <c r="C7541">
        <v>2932.5802013179814</v>
      </c>
    </row>
    <row r="7542" spans="1:3" x14ac:dyDescent="0.35">
      <c r="A7542" t="s">
        <v>153</v>
      </c>
      <c r="B7542">
        <v>1990</v>
      </c>
      <c r="C7542">
        <v>3394.8694354717609</v>
      </c>
    </row>
    <row r="7543" spans="1:3" x14ac:dyDescent="0.35">
      <c r="A7543" t="s">
        <v>153</v>
      </c>
      <c r="B7543">
        <v>1991</v>
      </c>
      <c r="C7543">
        <v>3287.551635523389</v>
      </c>
    </row>
    <row r="7544" spans="1:3" x14ac:dyDescent="0.35">
      <c r="A7544" t="s">
        <v>153</v>
      </c>
      <c r="B7544">
        <v>1992</v>
      </c>
      <c r="C7544">
        <v>3803.6849304046982</v>
      </c>
    </row>
    <row r="7545" spans="1:3" x14ac:dyDescent="0.35">
      <c r="A7545" t="s">
        <v>153</v>
      </c>
      <c r="B7545">
        <v>1993</v>
      </c>
      <c r="C7545">
        <v>3175.5831934289336</v>
      </c>
    </row>
    <row r="7546" spans="1:3" x14ac:dyDescent="0.35">
      <c r="A7546" t="s">
        <v>153</v>
      </c>
      <c r="B7546">
        <v>1994</v>
      </c>
      <c r="C7546">
        <v>3403.2912131353805</v>
      </c>
    </row>
    <row r="7547" spans="1:3" x14ac:dyDescent="0.35">
      <c r="A7547" t="s">
        <v>153</v>
      </c>
      <c r="B7547">
        <v>1995</v>
      </c>
      <c r="C7547">
        <v>3508.0408387475609</v>
      </c>
    </row>
    <row r="7548" spans="1:3" x14ac:dyDescent="0.35">
      <c r="A7548" t="s">
        <v>153</v>
      </c>
      <c r="B7548">
        <v>1996</v>
      </c>
      <c r="C7548">
        <v>3537.0034156044908</v>
      </c>
    </row>
    <row r="7549" spans="1:3" x14ac:dyDescent="0.35">
      <c r="A7549" t="s">
        <v>153</v>
      </c>
      <c r="B7549">
        <v>1997</v>
      </c>
      <c r="C7549">
        <v>3253.032487912461</v>
      </c>
    </row>
    <row r="7550" spans="1:3" x14ac:dyDescent="0.35">
      <c r="A7550" t="s">
        <v>153</v>
      </c>
      <c r="B7550">
        <v>1998</v>
      </c>
      <c r="C7550">
        <v>3324.9393646207477</v>
      </c>
    </row>
    <row r="7551" spans="1:3" x14ac:dyDescent="0.35">
      <c r="A7551" t="s">
        <v>153</v>
      </c>
      <c r="B7551">
        <v>1999</v>
      </c>
      <c r="C7551">
        <v>3309.1982864843312</v>
      </c>
    </row>
    <row r="7552" spans="1:3" x14ac:dyDescent="0.35">
      <c r="A7552" t="s">
        <v>153</v>
      </c>
      <c r="B7552">
        <v>2000</v>
      </c>
      <c r="C7552">
        <v>2922.3435099933649</v>
      </c>
    </row>
    <row r="7553" spans="1:3" x14ac:dyDescent="0.35">
      <c r="A7553" t="s">
        <v>153</v>
      </c>
      <c r="B7553">
        <v>2001</v>
      </c>
      <c r="C7553">
        <v>2965.9739869768064</v>
      </c>
    </row>
    <row r="7554" spans="1:3" x14ac:dyDescent="0.35">
      <c r="A7554" t="s">
        <v>153</v>
      </c>
      <c r="B7554">
        <v>2002</v>
      </c>
      <c r="C7554">
        <v>4065.8685484820471</v>
      </c>
    </row>
    <row r="7555" spans="1:3" x14ac:dyDescent="0.35">
      <c r="A7555" t="s">
        <v>153</v>
      </c>
      <c r="B7555">
        <v>2003</v>
      </c>
      <c r="C7555">
        <v>4517.5149924719863</v>
      </c>
    </row>
    <row r="7556" spans="1:3" x14ac:dyDescent="0.35">
      <c r="A7556" t="s">
        <v>153</v>
      </c>
      <c r="B7556">
        <v>2004</v>
      </c>
      <c r="C7556">
        <v>4887.3803374361914</v>
      </c>
    </row>
    <row r="7557" spans="1:3" x14ac:dyDescent="0.35">
      <c r="A7557" t="s">
        <v>153</v>
      </c>
      <c r="B7557">
        <v>2005</v>
      </c>
      <c r="C7557">
        <v>4884.9049282110991</v>
      </c>
    </row>
    <row r="7558" spans="1:3" x14ac:dyDescent="0.35">
      <c r="A7558" t="s">
        <v>153</v>
      </c>
      <c r="B7558">
        <v>2006</v>
      </c>
      <c r="C7558">
        <v>5011.7489666054917</v>
      </c>
    </row>
    <row r="7559" spans="1:3" x14ac:dyDescent="0.35">
      <c r="A7559" t="s">
        <v>153</v>
      </c>
      <c r="B7559">
        <v>2007</v>
      </c>
      <c r="C7559">
        <v>5875.2881004901337</v>
      </c>
    </row>
    <row r="7560" spans="1:3" x14ac:dyDescent="0.35">
      <c r="A7560" t="s">
        <v>153</v>
      </c>
      <c r="B7560">
        <v>2008</v>
      </c>
      <c r="C7560">
        <v>6370.921985815603</v>
      </c>
    </row>
    <row r="7561" spans="1:3" x14ac:dyDescent="0.35">
      <c r="A7561" t="s">
        <v>153</v>
      </c>
      <c r="B7561">
        <v>2009</v>
      </c>
      <c r="C7561">
        <v>6195.6036022282542</v>
      </c>
    </row>
    <row r="7562" spans="1:3" x14ac:dyDescent="0.35">
      <c r="A7562" t="s">
        <v>153</v>
      </c>
      <c r="B7562">
        <v>2010</v>
      </c>
      <c r="C7562">
        <v>6498.6590383791327</v>
      </c>
    </row>
    <row r="7563" spans="1:3" x14ac:dyDescent="0.35">
      <c r="A7563" t="s">
        <v>153</v>
      </c>
      <c r="B7563">
        <v>2011</v>
      </c>
      <c r="C7563">
        <v>7232.2605854823087</v>
      </c>
    </row>
    <row r="7564" spans="1:3" x14ac:dyDescent="0.35">
      <c r="A7564" t="s">
        <v>153</v>
      </c>
      <c r="B7564">
        <v>2012</v>
      </c>
      <c r="C7564">
        <v>7143.9621830683291</v>
      </c>
    </row>
    <row r="7565" spans="1:3" x14ac:dyDescent="0.35">
      <c r="A7565" t="s">
        <v>153</v>
      </c>
      <c r="B7565">
        <v>2013</v>
      </c>
      <c r="C7565">
        <v>7391.8297872340418</v>
      </c>
    </row>
    <row r="7566" spans="1:3" x14ac:dyDescent="0.35">
      <c r="A7566" t="s">
        <v>153</v>
      </c>
      <c r="B7566">
        <v>2014</v>
      </c>
      <c r="C7566">
        <v>7336.7853283336008</v>
      </c>
    </row>
    <row r="7567" spans="1:3" x14ac:dyDescent="0.35">
      <c r="A7567" t="s">
        <v>153</v>
      </c>
      <c r="B7567">
        <v>2015</v>
      </c>
      <c r="C7567">
        <v>5815.228174603174</v>
      </c>
    </row>
    <row r="7568" spans="1:3" x14ac:dyDescent="0.35">
      <c r="A7568" t="s">
        <v>153</v>
      </c>
      <c r="B7568">
        <v>2016</v>
      </c>
      <c r="C7568">
        <v>5997.3850475217123</v>
      </c>
    </row>
    <row r="7569" spans="1:3" x14ac:dyDescent="0.35">
      <c r="A7569" t="s">
        <v>153</v>
      </c>
      <c r="B7569">
        <v>2017</v>
      </c>
      <c r="C7569">
        <v>6853.2600329851566</v>
      </c>
    </row>
    <row r="7570" spans="1:3" x14ac:dyDescent="0.35">
      <c r="A7570" t="s">
        <v>153</v>
      </c>
      <c r="B7570">
        <v>2018</v>
      </c>
      <c r="C7570">
        <v>7541.0551691774499</v>
      </c>
    </row>
    <row r="7571" spans="1:3" x14ac:dyDescent="0.35">
      <c r="A7571" t="s">
        <v>153</v>
      </c>
      <c r="B7571">
        <v>2019</v>
      </c>
      <c r="C7571">
        <v>7542.1357898328215</v>
      </c>
    </row>
    <row r="7572" spans="1:3" x14ac:dyDescent="0.35">
      <c r="A7572" t="s">
        <v>153</v>
      </c>
      <c r="B7572">
        <v>2020</v>
      </c>
      <c r="C7572">
        <v>7225.183140460771</v>
      </c>
    </row>
    <row r="7573" spans="1:3" x14ac:dyDescent="0.35">
      <c r="A7573" t="s">
        <v>153</v>
      </c>
      <c r="B7573">
        <v>2021</v>
      </c>
      <c r="C7573">
        <v>8435.1216106132906</v>
      </c>
    </row>
    <row r="7574" spans="1:3" x14ac:dyDescent="0.35">
      <c r="A7574" t="s">
        <v>153</v>
      </c>
      <c r="B7574">
        <v>2022</v>
      </c>
      <c r="C7574">
        <v>8697.8219390225331</v>
      </c>
    </row>
    <row r="7575" spans="1:3" x14ac:dyDescent="0.35">
      <c r="A7575" t="s">
        <v>153</v>
      </c>
      <c r="B7575">
        <v>2023</v>
      </c>
      <c r="C7575">
        <v>8799.4004417797678</v>
      </c>
    </row>
    <row r="7576" spans="1:3" x14ac:dyDescent="0.35">
      <c r="A7576" t="s">
        <v>153</v>
      </c>
      <c r="B7576">
        <v>2024</v>
      </c>
      <c r="C7576">
        <v>10792.089957347844</v>
      </c>
    </row>
    <row r="7577" spans="1:3" x14ac:dyDescent="0.35">
      <c r="A7577" t="s">
        <v>153</v>
      </c>
      <c r="B7577">
        <v>2025</v>
      </c>
      <c r="C7577">
        <v>17033.643852490572</v>
      </c>
    </row>
    <row r="7578" spans="1:3" x14ac:dyDescent="0.35">
      <c r="A7578" t="s">
        <v>154</v>
      </c>
      <c r="B7578">
        <v>1949</v>
      </c>
      <c r="C7578">
        <v>41.114427735686967</v>
      </c>
    </row>
    <row r="7579" spans="1:3" x14ac:dyDescent="0.35">
      <c r="A7579" t="s">
        <v>154</v>
      </c>
      <c r="B7579">
        <v>1950</v>
      </c>
      <c r="C7579">
        <v>39.823785338411206</v>
      </c>
    </row>
    <row r="7580" spans="1:3" x14ac:dyDescent="0.35">
      <c r="A7580" t="s">
        <v>154</v>
      </c>
      <c r="B7580">
        <v>1951</v>
      </c>
      <c r="C7580">
        <v>40.792785140350865</v>
      </c>
    </row>
    <row r="7581" spans="1:3" x14ac:dyDescent="0.35">
      <c r="A7581" t="s">
        <v>154</v>
      </c>
      <c r="B7581">
        <v>1952</v>
      </c>
      <c r="C7581">
        <v>44.421268094353152</v>
      </c>
    </row>
    <row r="7582" spans="1:3" x14ac:dyDescent="0.35">
      <c r="A7582" t="s">
        <v>154</v>
      </c>
      <c r="B7582">
        <v>1953</v>
      </c>
      <c r="C7582">
        <v>51.878353526671354</v>
      </c>
    </row>
    <row r="7583" spans="1:3" x14ac:dyDescent="0.35">
      <c r="A7583" t="s">
        <v>154</v>
      </c>
      <c r="B7583">
        <v>1954</v>
      </c>
      <c r="C7583">
        <v>55.138195251674865</v>
      </c>
    </row>
    <row r="7584" spans="1:3" x14ac:dyDescent="0.35">
      <c r="A7584" t="s">
        <v>154</v>
      </c>
      <c r="B7584">
        <v>1955</v>
      </c>
      <c r="C7584">
        <v>58.929933607090895</v>
      </c>
    </row>
    <row r="7585" spans="1:3" x14ac:dyDescent="0.35">
      <c r="A7585" t="s">
        <v>154</v>
      </c>
      <c r="B7585">
        <v>1956</v>
      </c>
      <c r="C7585">
        <v>60.351835490371919</v>
      </c>
    </row>
    <row r="7586" spans="1:3" x14ac:dyDescent="0.35">
      <c r="A7586" t="s">
        <v>154</v>
      </c>
      <c r="B7586">
        <v>1957</v>
      </c>
      <c r="C7586">
        <v>62.826998027935169</v>
      </c>
    </row>
    <row r="7587" spans="1:3" x14ac:dyDescent="0.35">
      <c r="A7587" t="s">
        <v>154</v>
      </c>
      <c r="B7587">
        <v>1958</v>
      </c>
      <c r="C7587">
        <v>65.27582904914135</v>
      </c>
    </row>
    <row r="7588" spans="1:3" x14ac:dyDescent="0.35">
      <c r="A7588" t="s">
        <v>154</v>
      </c>
      <c r="B7588">
        <v>1959</v>
      </c>
      <c r="C7588">
        <v>74.096887028755035</v>
      </c>
    </row>
    <row r="7589" spans="1:3" x14ac:dyDescent="0.35">
      <c r="A7589" t="s">
        <v>154</v>
      </c>
      <c r="B7589">
        <v>1960</v>
      </c>
      <c r="C7589">
        <v>79.415853332880303</v>
      </c>
    </row>
    <row r="7590" spans="1:3" x14ac:dyDescent="0.35">
      <c r="A7590" t="s">
        <v>154</v>
      </c>
      <c r="B7590">
        <v>1961</v>
      </c>
      <c r="C7590">
        <v>129.28774531314403</v>
      </c>
    </row>
    <row r="7591" spans="1:3" x14ac:dyDescent="0.35">
      <c r="A7591" t="s">
        <v>154</v>
      </c>
      <c r="B7591">
        <v>1962</v>
      </c>
      <c r="C7591">
        <v>150.87958872592978</v>
      </c>
    </row>
    <row r="7592" spans="1:3" x14ac:dyDescent="0.35">
      <c r="A7592" t="s">
        <v>154</v>
      </c>
      <c r="B7592">
        <v>1963</v>
      </c>
      <c r="C7592">
        <v>150.3529583987887</v>
      </c>
    </row>
    <row r="7593" spans="1:3" x14ac:dyDescent="0.35">
      <c r="A7593" t="s">
        <v>154</v>
      </c>
      <c r="B7593">
        <v>1964</v>
      </c>
      <c r="C7593">
        <v>169.4696392740112</v>
      </c>
    </row>
    <row r="7594" spans="1:3" x14ac:dyDescent="0.35">
      <c r="A7594" t="s">
        <v>154</v>
      </c>
      <c r="B7594">
        <v>1965</v>
      </c>
      <c r="C7594">
        <v>175.47322500341994</v>
      </c>
    </row>
    <row r="7595" spans="1:3" x14ac:dyDescent="0.35">
      <c r="A7595" t="s">
        <v>154</v>
      </c>
      <c r="B7595">
        <v>1966</v>
      </c>
      <c r="C7595">
        <v>194.2212646496437</v>
      </c>
    </row>
    <row r="7596" spans="1:3" x14ac:dyDescent="0.35">
      <c r="A7596" t="s">
        <v>154</v>
      </c>
      <c r="B7596">
        <v>1967</v>
      </c>
      <c r="C7596">
        <v>251.51864424259705</v>
      </c>
    </row>
    <row r="7597" spans="1:3" x14ac:dyDescent="0.35">
      <c r="A7597" t="s">
        <v>154</v>
      </c>
      <c r="B7597">
        <v>1968</v>
      </c>
      <c r="C7597">
        <v>280.85721976762875</v>
      </c>
    </row>
    <row r="7598" spans="1:3" x14ac:dyDescent="0.35">
      <c r="A7598" t="s">
        <v>154</v>
      </c>
      <c r="B7598">
        <v>1969</v>
      </c>
      <c r="C7598">
        <v>283.14279538742113</v>
      </c>
    </row>
    <row r="7599" spans="1:3" x14ac:dyDescent="0.35">
      <c r="A7599" t="s">
        <v>154</v>
      </c>
      <c r="B7599">
        <v>1970</v>
      </c>
      <c r="C7599">
        <v>329.34934029078266</v>
      </c>
    </row>
    <row r="7600" spans="1:3" x14ac:dyDescent="0.35">
      <c r="A7600" t="s">
        <v>154</v>
      </c>
      <c r="B7600">
        <v>1971</v>
      </c>
      <c r="C7600">
        <v>391.42096786243184</v>
      </c>
    </row>
    <row r="7601" spans="1:3" x14ac:dyDescent="0.35">
      <c r="A7601" t="s">
        <v>154</v>
      </c>
      <c r="B7601">
        <v>1972</v>
      </c>
      <c r="C7601">
        <v>447.93065967590547</v>
      </c>
    </row>
    <row r="7602" spans="1:3" x14ac:dyDescent="0.35">
      <c r="A7602" t="s">
        <v>154</v>
      </c>
      <c r="B7602">
        <v>1973</v>
      </c>
      <c r="C7602">
        <v>515.56732688481247</v>
      </c>
    </row>
    <row r="7603" spans="1:3" x14ac:dyDescent="0.35">
      <c r="A7603" t="s">
        <v>154</v>
      </c>
      <c r="B7603">
        <v>1974</v>
      </c>
      <c r="C7603">
        <v>746.30030726098403</v>
      </c>
    </row>
    <row r="7604" spans="1:3" x14ac:dyDescent="0.35">
      <c r="A7604" t="s">
        <v>154</v>
      </c>
      <c r="B7604">
        <v>1975</v>
      </c>
      <c r="C7604">
        <v>588.0766746243404</v>
      </c>
    </row>
    <row r="7605" spans="1:3" x14ac:dyDescent="0.35">
      <c r="A7605" t="s">
        <v>154</v>
      </c>
      <c r="B7605">
        <v>1976</v>
      </c>
      <c r="C7605">
        <v>470.79977244920002</v>
      </c>
    </row>
    <row r="7606" spans="1:3" x14ac:dyDescent="0.35">
      <c r="A7606" t="s">
        <v>154</v>
      </c>
      <c r="B7606">
        <v>1977</v>
      </c>
      <c r="C7606">
        <v>435.66172177706312</v>
      </c>
    </row>
    <row r="7607" spans="1:3" x14ac:dyDescent="0.35">
      <c r="A7607" t="s">
        <v>154</v>
      </c>
      <c r="B7607">
        <v>1978</v>
      </c>
      <c r="C7607">
        <v>470.16631712853467</v>
      </c>
    </row>
    <row r="7608" spans="1:3" x14ac:dyDescent="0.35">
      <c r="A7608" t="s">
        <v>154</v>
      </c>
      <c r="B7608">
        <v>1979</v>
      </c>
      <c r="C7608">
        <v>530.13700951619694</v>
      </c>
    </row>
    <row r="7609" spans="1:3" x14ac:dyDescent="0.35">
      <c r="A7609" t="s">
        <v>154</v>
      </c>
      <c r="B7609">
        <v>1980</v>
      </c>
      <c r="C7609">
        <v>655.37798158679823</v>
      </c>
    </row>
    <row r="7610" spans="1:3" x14ac:dyDescent="0.35">
      <c r="A7610" t="s">
        <v>154</v>
      </c>
      <c r="B7610">
        <v>1981</v>
      </c>
      <c r="C7610">
        <v>637.04888340474417</v>
      </c>
    </row>
    <row r="7611" spans="1:3" x14ac:dyDescent="0.35">
      <c r="A7611" t="s">
        <v>154</v>
      </c>
      <c r="B7611">
        <v>1982</v>
      </c>
      <c r="C7611">
        <v>606.43653769300693</v>
      </c>
    </row>
    <row r="7612" spans="1:3" x14ac:dyDescent="0.35">
      <c r="A7612" t="s">
        <v>154</v>
      </c>
      <c r="B7612">
        <v>1983</v>
      </c>
      <c r="C7612">
        <v>523.32026453674666</v>
      </c>
    </row>
    <row r="7613" spans="1:3" x14ac:dyDescent="0.35">
      <c r="A7613" t="s">
        <v>154</v>
      </c>
      <c r="B7613">
        <v>1984</v>
      </c>
      <c r="C7613">
        <v>474.62227625558552</v>
      </c>
    </row>
    <row r="7614" spans="1:3" x14ac:dyDescent="0.35">
      <c r="A7614" t="s">
        <v>154</v>
      </c>
      <c r="B7614">
        <v>1985</v>
      </c>
      <c r="C7614">
        <v>493.5948161687553</v>
      </c>
    </row>
    <row r="7615" spans="1:3" x14ac:dyDescent="0.35">
      <c r="A7615" t="s">
        <v>154</v>
      </c>
      <c r="B7615">
        <v>1986</v>
      </c>
      <c r="C7615">
        <v>706.69005639134446</v>
      </c>
    </row>
    <row r="7616" spans="1:3" x14ac:dyDescent="0.35">
      <c r="A7616" t="s">
        <v>154</v>
      </c>
      <c r="B7616">
        <v>1987</v>
      </c>
      <c r="C7616">
        <v>853.84558296833166</v>
      </c>
    </row>
    <row r="7617" spans="1:3" x14ac:dyDescent="0.35">
      <c r="A7617" t="s">
        <v>154</v>
      </c>
      <c r="B7617">
        <v>1988</v>
      </c>
      <c r="C7617">
        <v>1017.8990639838637</v>
      </c>
    </row>
    <row r="7618" spans="1:3" x14ac:dyDescent="0.35">
      <c r="A7618" t="s">
        <v>154</v>
      </c>
      <c r="B7618">
        <v>1989</v>
      </c>
      <c r="C7618">
        <v>1099.9885859134977</v>
      </c>
    </row>
    <row r="7619" spans="1:3" x14ac:dyDescent="0.35">
      <c r="A7619" t="s">
        <v>154</v>
      </c>
      <c r="B7619">
        <v>1990</v>
      </c>
      <c r="C7619">
        <v>1416.0831699333162</v>
      </c>
    </row>
    <row r="7620" spans="1:3" x14ac:dyDescent="0.35">
      <c r="A7620" t="s">
        <v>154</v>
      </c>
      <c r="B7620">
        <v>1991</v>
      </c>
      <c r="C7620">
        <v>1597.5567988273999</v>
      </c>
    </row>
    <row r="7621" spans="1:3" x14ac:dyDescent="0.35">
      <c r="A7621" t="s">
        <v>154</v>
      </c>
      <c r="B7621">
        <v>1992</v>
      </c>
      <c r="C7621">
        <v>1912.6795096875392</v>
      </c>
    </row>
    <row r="7622" spans="1:3" x14ac:dyDescent="0.35">
      <c r="A7622" t="s">
        <v>154</v>
      </c>
      <c r="B7622">
        <v>1993</v>
      </c>
      <c r="C7622">
        <v>1655.5752185656311</v>
      </c>
    </row>
    <row r="7623" spans="1:3" x14ac:dyDescent="0.35">
      <c r="A7623" t="s">
        <v>154</v>
      </c>
      <c r="B7623">
        <v>1994</v>
      </c>
      <c r="C7623">
        <v>1641.5484114288272</v>
      </c>
    </row>
    <row r="7624" spans="1:3" x14ac:dyDescent="0.35">
      <c r="A7624" t="s">
        <v>154</v>
      </c>
      <c r="B7624">
        <v>1995</v>
      </c>
      <c r="C7624">
        <v>2016.4997201793005</v>
      </c>
    </row>
    <row r="7625" spans="1:3" x14ac:dyDescent="0.35">
      <c r="A7625" t="s">
        <v>154</v>
      </c>
      <c r="B7625">
        <v>1996</v>
      </c>
      <c r="C7625">
        <v>1964.1848560905189</v>
      </c>
    </row>
    <row r="7626" spans="1:3" x14ac:dyDescent="0.35">
      <c r="A7626" t="s">
        <v>154</v>
      </c>
      <c r="B7626">
        <v>1997</v>
      </c>
      <c r="C7626">
        <v>1803.9584241747177</v>
      </c>
    </row>
    <row r="7627" spans="1:3" x14ac:dyDescent="0.35">
      <c r="A7627" t="s">
        <v>154</v>
      </c>
      <c r="B7627">
        <v>1998</v>
      </c>
      <c r="C7627">
        <v>1763.8638403022815</v>
      </c>
    </row>
    <row r="7628" spans="1:3" x14ac:dyDescent="0.35">
      <c r="A7628" t="s">
        <v>154</v>
      </c>
      <c r="B7628">
        <v>1999</v>
      </c>
      <c r="C7628">
        <v>1817.4056212408002</v>
      </c>
    </row>
    <row r="7629" spans="1:3" x14ac:dyDescent="0.35">
      <c r="A7629" t="s">
        <v>154</v>
      </c>
      <c r="B7629">
        <v>2000</v>
      </c>
      <c r="C7629">
        <v>1664.6742428991804</v>
      </c>
    </row>
    <row r="7630" spans="1:3" x14ac:dyDescent="0.35">
      <c r="A7630" t="s">
        <v>154</v>
      </c>
      <c r="B7630">
        <v>2001</v>
      </c>
      <c r="C7630">
        <v>1755.7183947868862</v>
      </c>
    </row>
    <row r="7631" spans="1:3" x14ac:dyDescent="0.35">
      <c r="A7631" t="s">
        <v>154</v>
      </c>
      <c r="B7631">
        <v>2002</v>
      </c>
      <c r="C7631">
        <v>1965.2277622059937</v>
      </c>
    </row>
    <row r="7632" spans="1:3" x14ac:dyDescent="0.35">
      <c r="A7632" t="s">
        <v>154</v>
      </c>
      <c r="B7632">
        <v>2003</v>
      </c>
      <c r="C7632">
        <v>2363.3404587182886</v>
      </c>
    </row>
    <row r="7633" spans="1:3" x14ac:dyDescent="0.35">
      <c r="A7633" t="s">
        <v>154</v>
      </c>
      <c r="B7633">
        <v>2004</v>
      </c>
      <c r="C7633">
        <v>2847.1562583424907</v>
      </c>
    </row>
    <row r="7634" spans="1:3" x14ac:dyDescent="0.35">
      <c r="A7634" t="s">
        <v>154</v>
      </c>
      <c r="B7634">
        <v>2005</v>
      </c>
      <c r="C7634">
        <v>3142.5657862010644</v>
      </c>
    </row>
    <row r="7635" spans="1:3" x14ac:dyDescent="0.35">
      <c r="A7635" t="s">
        <v>154</v>
      </c>
      <c r="B7635">
        <v>2006</v>
      </c>
      <c r="C7635">
        <v>3153.7707883548833</v>
      </c>
    </row>
    <row r="7636" spans="1:3" x14ac:dyDescent="0.35">
      <c r="A7636" t="s">
        <v>154</v>
      </c>
      <c r="B7636">
        <v>2007</v>
      </c>
      <c r="C7636">
        <v>3309.436410370115</v>
      </c>
    </row>
    <row r="7637" spans="1:3" x14ac:dyDescent="0.35">
      <c r="A7637" t="s">
        <v>154</v>
      </c>
      <c r="B7637">
        <v>2008</v>
      </c>
      <c r="C7637">
        <v>3714.7984033398029</v>
      </c>
    </row>
    <row r="7638" spans="1:3" x14ac:dyDescent="0.35">
      <c r="A7638" t="s">
        <v>154</v>
      </c>
      <c r="B7638">
        <v>2009</v>
      </c>
      <c r="C7638">
        <v>3772.7671172741834</v>
      </c>
    </row>
    <row r="7639" spans="1:3" x14ac:dyDescent="0.35">
      <c r="A7639" t="s">
        <v>154</v>
      </c>
      <c r="B7639">
        <v>2010</v>
      </c>
      <c r="C7639">
        <v>3806.1307604182534</v>
      </c>
    </row>
    <row r="7640" spans="1:3" x14ac:dyDescent="0.35">
      <c r="A7640" t="s">
        <v>154</v>
      </c>
      <c r="B7640">
        <v>2011</v>
      </c>
      <c r="C7640">
        <v>3842.6090038993266</v>
      </c>
    </row>
    <row r="7641" spans="1:3" x14ac:dyDescent="0.35">
      <c r="A7641" t="s">
        <v>154</v>
      </c>
      <c r="B7641">
        <v>2012</v>
      </c>
      <c r="C7641">
        <v>3946.580598077333</v>
      </c>
    </row>
    <row r="7642" spans="1:3" x14ac:dyDescent="0.35">
      <c r="A7642" t="s">
        <v>154</v>
      </c>
      <c r="B7642">
        <v>2013</v>
      </c>
      <c r="C7642">
        <v>3806.3675797540755</v>
      </c>
    </row>
    <row r="7643" spans="1:3" x14ac:dyDescent="0.35">
      <c r="A7643" t="s">
        <v>154</v>
      </c>
      <c r="B7643">
        <v>2014</v>
      </c>
      <c r="C7643">
        <v>3435.842536332937</v>
      </c>
    </row>
    <row r="7644" spans="1:3" x14ac:dyDescent="0.35">
      <c r="A7644" t="s">
        <v>154</v>
      </c>
      <c r="B7644">
        <v>2015</v>
      </c>
      <c r="C7644">
        <v>3133.4590218476214</v>
      </c>
    </row>
    <row r="7645" spans="1:3" x14ac:dyDescent="0.35">
      <c r="A7645" t="s">
        <v>154</v>
      </c>
      <c r="B7645">
        <v>2016</v>
      </c>
      <c r="C7645">
        <v>3233.4200519196847</v>
      </c>
    </row>
    <row r="7646" spans="1:3" x14ac:dyDescent="0.35">
      <c r="A7646" t="s">
        <v>154</v>
      </c>
      <c r="B7646">
        <v>2017</v>
      </c>
      <c r="C7646">
        <v>3201.5280657473909</v>
      </c>
    </row>
    <row r="7647" spans="1:3" x14ac:dyDescent="0.35">
      <c r="A7647" t="s">
        <v>154</v>
      </c>
      <c r="B7647">
        <v>2018</v>
      </c>
      <c r="C7647">
        <v>3361.54291042574</v>
      </c>
    </row>
    <row r="7648" spans="1:3" x14ac:dyDescent="0.35">
      <c r="A7648" t="s">
        <v>154</v>
      </c>
      <c r="B7648">
        <v>2019</v>
      </c>
      <c r="C7648">
        <v>3302.0600089565605</v>
      </c>
    </row>
    <row r="7649" spans="1:3" x14ac:dyDescent="0.35">
      <c r="A7649" t="s">
        <v>154</v>
      </c>
      <c r="B7649">
        <v>2020</v>
      </c>
      <c r="C7649">
        <v>3291.804399863217</v>
      </c>
    </row>
    <row r="7650" spans="1:3" x14ac:dyDescent="0.35">
      <c r="A7650" t="s">
        <v>154</v>
      </c>
      <c r="B7650">
        <v>2021</v>
      </c>
      <c r="C7650">
        <v>3880.5581835383159</v>
      </c>
    </row>
    <row r="7651" spans="1:3" x14ac:dyDescent="0.35">
      <c r="A7651" t="s">
        <v>154</v>
      </c>
      <c r="B7651">
        <v>2022</v>
      </c>
      <c r="C7651">
        <v>3484.3117621816286</v>
      </c>
    </row>
    <row r="7652" spans="1:3" x14ac:dyDescent="0.35">
      <c r="A7652" t="s">
        <v>154</v>
      </c>
      <c r="B7652">
        <v>2023</v>
      </c>
      <c r="C7652">
        <v>3528.9389414911775</v>
      </c>
    </row>
    <row r="7653" spans="1:3" x14ac:dyDescent="0.35">
      <c r="A7653" t="s">
        <v>154</v>
      </c>
      <c r="B7653">
        <v>2024</v>
      </c>
      <c r="C7653">
        <v>4524.1338832812535</v>
      </c>
    </row>
    <row r="7654" spans="1:3" x14ac:dyDescent="0.35">
      <c r="A7654" t="s">
        <v>154</v>
      </c>
      <c r="B7654">
        <v>2025</v>
      </c>
      <c r="C7654">
        <v>5861.2909775962817</v>
      </c>
    </row>
    <row r="7655" spans="1:3" x14ac:dyDescent="0.35">
      <c r="A7655" t="s">
        <v>155</v>
      </c>
      <c r="B7655">
        <v>1949</v>
      </c>
      <c r="C7655">
        <v>144.50908036706898</v>
      </c>
    </row>
    <row r="7656" spans="1:3" x14ac:dyDescent="0.35">
      <c r="A7656" t="s">
        <v>155</v>
      </c>
      <c r="B7656">
        <v>1950</v>
      </c>
      <c r="C7656">
        <v>148.6593428533769</v>
      </c>
    </row>
    <row r="7657" spans="1:3" x14ac:dyDescent="0.35">
      <c r="A7657" t="s">
        <v>155</v>
      </c>
      <c r="B7657">
        <v>1951</v>
      </c>
      <c r="C7657">
        <v>154.52942357694104</v>
      </c>
    </row>
    <row r="7658" spans="1:3" x14ac:dyDescent="0.35">
      <c r="A7658" t="s">
        <v>155</v>
      </c>
      <c r="B7658">
        <v>1952</v>
      </c>
      <c r="C7658">
        <v>191.96978669194917</v>
      </c>
    </row>
    <row r="7659" spans="1:3" x14ac:dyDescent="0.35">
      <c r="A7659" t="s">
        <v>155</v>
      </c>
      <c r="B7659">
        <v>1953</v>
      </c>
      <c r="C7659">
        <v>191.27926912060974</v>
      </c>
    </row>
    <row r="7660" spans="1:3" x14ac:dyDescent="0.35">
      <c r="A7660" t="s">
        <v>155</v>
      </c>
      <c r="B7660">
        <v>1954</v>
      </c>
      <c r="C7660">
        <v>198.09125306469741</v>
      </c>
    </row>
    <row r="7661" spans="1:3" x14ac:dyDescent="0.35">
      <c r="A7661" t="s">
        <v>155</v>
      </c>
      <c r="B7661">
        <v>1955</v>
      </c>
      <c r="C7661">
        <v>222.94236455529708</v>
      </c>
    </row>
    <row r="7662" spans="1:3" x14ac:dyDescent="0.35">
      <c r="A7662" t="s">
        <v>155</v>
      </c>
      <c r="B7662">
        <v>1956</v>
      </c>
      <c r="C7662">
        <v>250.43858027415658</v>
      </c>
    </row>
    <row r="7663" spans="1:3" x14ac:dyDescent="0.35">
      <c r="A7663" t="s">
        <v>155</v>
      </c>
      <c r="B7663">
        <v>1957</v>
      </c>
      <c r="C7663">
        <v>273.77317647100386</v>
      </c>
    </row>
    <row r="7664" spans="1:3" x14ac:dyDescent="0.35">
      <c r="A7664" t="s">
        <v>155</v>
      </c>
      <c r="B7664">
        <v>1958</v>
      </c>
      <c r="C7664">
        <v>267.7864067389159</v>
      </c>
    </row>
    <row r="7665" spans="1:3" x14ac:dyDescent="0.35">
      <c r="A7665" t="s">
        <v>155</v>
      </c>
      <c r="B7665">
        <v>1959</v>
      </c>
      <c r="C7665">
        <v>225.48031784364457</v>
      </c>
    </row>
    <row r="7666" spans="1:3" x14ac:dyDescent="0.35">
      <c r="A7666" t="s">
        <v>155</v>
      </c>
      <c r="B7666">
        <v>1960</v>
      </c>
      <c r="C7666">
        <v>232.83981594398875</v>
      </c>
    </row>
    <row r="7667" spans="1:3" x14ac:dyDescent="0.35">
      <c r="A7667" t="s">
        <v>155</v>
      </c>
      <c r="B7667">
        <v>1961</v>
      </c>
      <c r="C7667">
        <v>239.34877206864232</v>
      </c>
    </row>
    <row r="7668" spans="1:3" x14ac:dyDescent="0.35">
      <c r="A7668" t="s">
        <v>155</v>
      </c>
      <c r="B7668">
        <v>1962</v>
      </c>
      <c r="C7668">
        <v>308.79169347094444</v>
      </c>
    </row>
    <row r="7669" spans="1:3" x14ac:dyDescent="0.35">
      <c r="A7669" t="s">
        <v>155</v>
      </c>
      <c r="B7669">
        <v>1963</v>
      </c>
      <c r="C7669">
        <v>316.52031113239286</v>
      </c>
    </row>
    <row r="7670" spans="1:3" x14ac:dyDescent="0.35">
      <c r="A7670" t="s">
        <v>155</v>
      </c>
      <c r="B7670">
        <v>1964</v>
      </c>
      <c r="C7670">
        <v>386.82000072100652</v>
      </c>
    </row>
    <row r="7671" spans="1:3" x14ac:dyDescent="0.35">
      <c r="A7671" t="s">
        <v>155</v>
      </c>
      <c r="B7671">
        <v>1965</v>
      </c>
      <c r="C7671">
        <v>439.42574603377074</v>
      </c>
    </row>
    <row r="7672" spans="1:3" x14ac:dyDescent="0.35">
      <c r="A7672" t="s">
        <v>155</v>
      </c>
      <c r="B7672">
        <v>1966</v>
      </c>
      <c r="C7672">
        <v>560.94307653484259</v>
      </c>
    </row>
    <row r="7673" spans="1:3" x14ac:dyDescent="0.35">
      <c r="A7673" t="s">
        <v>155</v>
      </c>
      <c r="B7673">
        <v>1967</v>
      </c>
      <c r="C7673">
        <v>545.91715593161803</v>
      </c>
    </row>
    <row r="7674" spans="1:3" x14ac:dyDescent="0.35">
      <c r="A7674" t="s">
        <v>155</v>
      </c>
      <c r="B7674">
        <v>1968</v>
      </c>
      <c r="C7674">
        <v>668.75362484193317</v>
      </c>
    </row>
    <row r="7675" spans="1:3" x14ac:dyDescent="0.35">
      <c r="A7675" t="s">
        <v>155</v>
      </c>
      <c r="B7675">
        <v>1969</v>
      </c>
      <c r="C7675">
        <v>805.71322627570669</v>
      </c>
    </row>
    <row r="7676" spans="1:3" x14ac:dyDescent="0.35">
      <c r="A7676" t="s">
        <v>155</v>
      </c>
      <c r="B7676">
        <v>1970</v>
      </c>
      <c r="C7676">
        <v>859.14696178822362</v>
      </c>
    </row>
    <row r="7677" spans="1:3" x14ac:dyDescent="0.35">
      <c r="A7677" t="s">
        <v>155</v>
      </c>
      <c r="B7677">
        <v>1971</v>
      </c>
      <c r="C7677">
        <v>900.61434918505915</v>
      </c>
    </row>
    <row r="7678" spans="1:3" x14ac:dyDescent="0.35">
      <c r="A7678" t="s">
        <v>155</v>
      </c>
      <c r="B7678">
        <v>1972</v>
      </c>
      <c r="C7678">
        <v>1256.1645857010087</v>
      </c>
    </row>
    <row r="7679" spans="1:3" x14ac:dyDescent="0.35">
      <c r="A7679" t="s">
        <v>155</v>
      </c>
      <c r="B7679">
        <v>1973</v>
      </c>
      <c r="C7679">
        <v>1521.3194345280594</v>
      </c>
    </row>
    <row r="7680" spans="1:3" x14ac:dyDescent="0.35">
      <c r="A7680" t="s">
        <v>155</v>
      </c>
      <c r="B7680">
        <v>1974</v>
      </c>
      <c r="C7680">
        <v>1968.1787178074605</v>
      </c>
    </row>
    <row r="7681" spans="1:3" x14ac:dyDescent="0.35">
      <c r="A7681" t="s">
        <v>155</v>
      </c>
      <c r="B7681">
        <v>1975</v>
      </c>
      <c r="C7681">
        <v>2108.2329409923391</v>
      </c>
    </row>
    <row r="7682" spans="1:3" x14ac:dyDescent="0.35">
      <c r="A7682" t="s">
        <v>155</v>
      </c>
      <c r="B7682">
        <v>1976</v>
      </c>
      <c r="C7682">
        <v>2521.0138748305749</v>
      </c>
    </row>
    <row r="7683" spans="1:3" x14ac:dyDescent="0.35">
      <c r="A7683" t="s">
        <v>155</v>
      </c>
      <c r="B7683">
        <v>1977</v>
      </c>
      <c r="C7683">
        <v>2808.8470495465895</v>
      </c>
    </row>
    <row r="7684" spans="1:3" x14ac:dyDescent="0.35">
      <c r="A7684" t="s">
        <v>155</v>
      </c>
      <c r="B7684">
        <v>1978</v>
      </c>
      <c r="C7684">
        <v>3470.695273046098</v>
      </c>
    </row>
    <row r="7685" spans="1:3" x14ac:dyDescent="0.35">
      <c r="A7685" t="s">
        <v>155</v>
      </c>
      <c r="B7685">
        <v>1979</v>
      </c>
      <c r="C7685">
        <v>4910.9539324143771</v>
      </c>
    </row>
    <row r="7686" spans="1:3" x14ac:dyDescent="0.35">
      <c r="A7686" t="s">
        <v>155</v>
      </c>
      <c r="B7686">
        <v>1980</v>
      </c>
      <c r="C7686">
        <v>5508.3564326107989</v>
      </c>
    </row>
    <row r="7687" spans="1:3" x14ac:dyDescent="0.35">
      <c r="A7687" t="s">
        <v>155</v>
      </c>
      <c r="B7687">
        <v>1981</v>
      </c>
      <c r="C7687">
        <v>4977.7485334270505</v>
      </c>
    </row>
    <row r="7688" spans="1:3" x14ac:dyDescent="0.35">
      <c r="A7688" t="s">
        <v>155</v>
      </c>
      <c r="B7688">
        <v>1982</v>
      </c>
      <c r="C7688">
        <v>4956.2424413154067</v>
      </c>
    </row>
    <row r="7689" spans="1:3" x14ac:dyDescent="0.35">
      <c r="A7689" t="s">
        <v>155</v>
      </c>
      <c r="B7689">
        <v>1983</v>
      </c>
      <c r="C7689">
        <v>4770.9653133123993</v>
      </c>
    </row>
    <row r="7690" spans="1:3" x14ac:dyDescent="0.35">
      <c r="A7690" t="s">
        <v>155</v>
      </c>
      <c r="B7690">
        <v>1984</v>
      </c>
      <c r="C7690">
        <v>4851.9498692290263</v>
      </c>
    </row>
    <row r="7691" spans="1:3" x14ac:dyDescent="0.35">
      <c r="A7691" t="s">
        <v>155</v>
      </c>
      <c r="B7691">
        <v>1985</v>
      </c>
      <c r="C7691">
        <v>5077.574144561102</v>
      </c>
    </row>
    <row r="7692" spans="1:3" x14ac:dyDescent="0.35">
      <c r="A7692" t="s">
        <v>155</v>
      </c>
      <c r="B7692">
        <v>1986</v>
      </c>
      <c r="C7692">
        <v>6270.6187894139066</v>
      </c>
    </row>
    <row r="7693" spans="1:3" x14ac:dyDescent="0.35">
      <c r="A7693" t="s">
        <v>155</v>
      </c>
      <c r="B7693">
        <v>1987</v>
      </c>
      <c r="C7693">
        <v>7921.5086508920394</v>
      </c>
    </row>
    <row r="7694" spans="1:3" x14ac:dyDescent="0.35">
      <c r="A7694" t="s">
        <v>155</v>
      </c>
      <c r="B7694">
        <v>1988</v>
      </c>
      <c r="C7694">
        <v>8900.4142265390656</v>
      </c>
    </row>
    <row r="7695" spans="1:3" x14ac:dyDescent="0.35">
      <c r="A7695" t="s">
        <v>155</v>
      </c>
      <c r="B7695">
        <v>1989</v>
      </c>
      <c r="C7695">
        <v>9302.9302958406897</v>
      </c>
    </row>
    <row r="7696" spans="1:3" x14ac:dyDescent="0.35">
      <c r="A7696" t="s">
        <v>155</v>
      </c>
      <c r="B7696">
        <v>1990</v>
      </c>
      <c r="C7696">
        <v>11695.038644543652</v>
      </c>
    </row>
    <row r="7697" spans="1:3" x14ac:dyDescent="0.35">
      <c r="A7697" t="s">
        <v>155</v>
      </c>
      <c r="B7697">
        <v>1991</v>
      </c>
      <c r="C7697">
        <v>11680.263754141173</v>
      </c>
    </row>
    <row r="7698" spans="1:3" x14ac:dyDescent="0.35">
      <c r="A7698" t="s">
        <v>155</v>
      </c>
      <c r="B7698">
        <v>1992</v>
      </c>
      <c r="C7698">
        <v>12250.195429628267</v>
      </c>
    </row>
    <row r="7699" spans="1:3" x14ac:dyDescent="0.35">
      <c r="A7699" t="s">
        <v>155</v>
      </c>
      <c r="B7699">
        <v>1993</v>
      </c>
      <c r="C7699">
        <v>10041.511353191667</v>
      </c>
    </row>
    <row r="7700" spans="1:3" x14ac:dyDescent="0.35">
      <c r="A7700" t="s">
        <v>155</v>
      </c>
      <c r="B7700">
        <v>1994</v>
      </c>
      <c r="C7700">
        <v>10092.671257377928</v>
      </c>
    </row>
    <row r="7701" spans="1:3" x14ac:dyDescent="0.35">
      <c r="A7701" t="s">
        <v>155</v>
      </c>
      <c r="B7701">
        <v>1995</v>
      </c>
      <c r="C7701">
        <v>11439.906271183727</v>
      </c>
    </row>
    <row r="7702" spans="1:3" x14ac:dyDescent="0.35">
      <c r="A7702" t="s">
        <v>155</v>
      </c>
      <c r="B7702">
        <v>1996</v>
      </c>
      <c r="C7702">
        <v>11294.316854756184</v>
      </c>
    </row>
    <row r="7703" spans="1:3" x14ac:dyDescent="0.35">
      <c r="A7703" t="s">
        <v>155</v>
      </c>
      <c r="B7703">
        <v>1997</v>
      </c>
      <c r="C7703">
        <v>9865.8922410462274</v>
      </c>
    </row>
    <row r="7704" spans="1:3" x14ac:dyDescent="0.35">
      <c r="A7704" t="s">
        <v>155</v>
      </c>
      <c r="B7704">
        <v>1998</v>
      </c>
      <c r="C7704">
        <v>10333.417234297525</v>
      </c>
    </row>
    <row r="7705" spans="1:3" x14ac:dyDescent="0.35">
      <c r="A7705" t="s">
        <v>155</v>
      </c>
      <c r="B7705">
        <v>1999</v>
      </c>
      <c r="C7705">
        <v>11113.722490403536</v>
      </c>
    </row>
    <row r="7706" spans="1:3" x14ac:dyDescent="0.35">
      <c r="A7706" t="s">
        <v>155</v>
      </c>
      <c r="B7706">
        <v>2000</v>
      </c>
      <c r="C7706">
        <v>10273.779251888705</v>
      </c>
    </row>
    <row r="7707" spans="1:3" x14ac:dyDescent="0.35">
      <c r="A7707" t="s">
        <v>155</v>
      </c>
      <c r="B7707">
        <v>2001</v>
      </c>
      <c r="C7707">
        <v>10222.074075399772</v>
      </c>
    </row>
    <row r="7708" spans="1:3" x14ac:dyDescent="0.35">
      <c r="A7708" t="s">
        <v>155</v>
      </c>
      <c r="B7708">
        <v>2002</v>
      </c>
      <c r="C7708">
        <v>10270.839019340263</v>
      </c>
    </row>
    <row r="7709" spans="1:3" x14ac:dyDescent="0.35">
      <c r="A7709" t="s">
        <v>155</v>
      </c>
      <c r="B7709">
        <v>2003</v>
      </c>
      <c r="C7709">
        <v>12880.532801224332</v>
      </c>
    </row>
    <row r="7710" spans="1:3" x14ac:dyDescent="0.35">
      <c r="A7710" t="s">
        <v>155</v>
      </c>
      <c r="B7710">
        <v>2004</v>
      </c>
      <c r="C7710">
        <v>15262.45863676718</v>
      </c>
    </row>
    <row r="7711" spans="1:3" x14ac:dyDescent="0.35">
      <c r="A7711" t="s">
        <v>155</v>
      </c>
      <c r="B7711">
        <v>2005</v>
      </c>
      <c r="C7711">
        <v>15997.724220265631</v>
      </c>
    </row>
    <row r="7712" spans="1:3" x14ac:dyDescent="0.35">
      <c r="A7712" t="s">
        <v>155</v>
      </c>
      <c r="B7712">
        <v>2006</v>
      </c>
      <c r="C7712">
        <v>17252.217612693363</v>
      </c>
    </row>
    <row r="7713" spans="1:3" x14ac:dyDescent="0.35">
      <c r="A7713" t="s">
        <v>155</v>
      </c>
      <c r="B7713">
        <v>2007</v>
      </c>
      <c r="C7713">
        <v>20065.668634809579</v>
      </c>
    </row>
    <row r="7714" spans="1:3" x14ac:dyDescent="0.35">
      <c r="A7714" t="s">
        <v>155</v>
      </c>
      <c r="B7714">
        <v>2008</v>
      </c>
      <c r="C7714">
        <v>22227.721829567512</v>
      </c>
    </row>
    <row r="7715" spans="1:3" x14ac:dyDescent="0.35">
      <c r="A7715" t="s">
        <v>155</v>
      </c>
      <c r="B7715">
        <v>2009</v>
      </c>
      <c r="C7715">
        <v>20178.274984961998</v>
      </c>
    </row>
    <row r="7716" spans="1:3" x14ac:dyDescent="0.35">
      <c r="A7716" t="s">
        <v>155</v>
      </c>
      <c r="B7716">
        <v>2010</v>
      </c>
      <c r="C7716">
        <v>19710.785449873849</v>
      </c>
    </row>
    <row r="7717" spans="1:3" x14ac:dyDescent="0.35">
      <c r="A7717" t="s">
        <v>155</v>
      </c>
      <c r="B7717">
        <v>2011</v>
      </c>
      <c r="C7717">
        <v>19695.435494296973</v>
      </c>
    </row>
    <row r="7718" spans="1:3" x14ac:dyDescent="0.35">
      <c r="A7718" t="s">
        <v>155</v>
      </c>
      <c r="B7718">
        <v>2012</v>
      </c>
      <c r="C7718">
        <v>18860.623363407656</v>
      </c>
    </row>
    <row r="7719" spans="1:3" x14ac:dyDescent="0.35">
      <c r="A7719" t="s">
        <v>155</v>
      </c>
      <c r="B7719">
        <v>2013</v>
      </c>
      <c r="C7719">
        <v>17242.959322002389</v>
      </c>
    </row>
    <row r="7720" spans="1:3" x14ac:dyDescent="0.35">
      <c r="A7720" t="s">
        <v>155</v>
      </c>
      <c r="B7720">
        <v>2014</v>
      </c>
      <c r="C7720">
        <v>17178.549314761891</v>
      </c>
    </row>
    <row r="7721" spans="1:3" x14ac:dyDescent="0.35">
      <c r="A7721" t="s">
        <v>155</v>
      </c>
      <c r="B7721">
        <v>2015</v>
      </c>
      <c r="C7721">
        <v>15187.168681379617</v>
      </c>
    </row>
    <row r="7722" spans="1:3" x14ac:dyDescent="0.35">
      <c r="A7722" t="s">
        <v>155</v>
      </c>
      <c r="B7722">
        <v>2016</v>
      </c>
      <c r="C7722">
        <v>14014.43963518389</v>
      </c>
    </row>
    <row r="7723" spans="1:3" x14ac:dyDescent="0.35">
      <c r="A7723" t="s">
        <v>155</v>
      </c>
      <c r="B7723">
        <v>2017</v>
      </c>
      <c r="C7723">
        <v>16043.533257461726</v>
      </c>
    </row>
    <row r="7724" spans="1:3" x14ac:dyDescent="0.35">
      <c r="A7724" t="s">
        <v>155</v>
      </c>
      <c r="B7724">
        <v>2018</v>
      </c>
      <c r="C7724">
        <v>17823.271130625686</v>
      </c>
    </row>
    <row r="7725" spans="1:3" x14ac:dyDescent="0.35">
      <c r="A7725" t="s">
        <v>155</v>
      </c>
      <c r="B7725">
        <v>2019</v>
      </c>
      <c r="C7725">
        <v>17189.319301388266</v>
      </c>
    </row>
    <row r="7726" spans="1:3" x14ac:dyDescent="0.35">
      <c r="A7726" t="s">
        <v>155</v>
      </c>
      <c r="B7726">
        <v>2020</v>
      </c>
      <c r="C7726">
        <v>17450.336258976407</v>
      </c>
    </row>
    <row r="7727" spans="1:3" x14ac:dyDescent="0.35">
      <c r="A7727" t="s">
        <v>155</v>
      </c>
      <c r="B7727">
        <v>2021</v>
      </c>
      <c r="C7727">
        <v>19970.305108798486</v>
      </c>
    </row>
    <row r="7728" spans="1:3" x14ac:dyDescent="0.35">
      <c r="A7728" t="s">
        <v>155</v>
      </c>
      <c r="B7728">
        <v>2022</v>
      </c>
      <c r="C7728">
        <v>20722.199550682813</v>
      </c>
    </row>
    <row r="7729" spans="1:3" x14ac:dyDescent="0.35">
      <c r="A7729" t="s">
        <v>155</v>
      </c>
      <c r="B7729">
        <v>2023</v>
      </c>
      <c r="C7729">
        <v>24837.317038387908</v>
      </c>
    </row>
    <row r="7730" spans="1:3" x14ac:dyDescent="0.35">
      <c r="A7730" t="s">
        <v>155</v>
      </c>
      <c r="B7730">
        <v>2024</v>
      </c>
      <c r="C7730">
        <v>25199.837644766747</v>
      </c>
    </row>
    <row r="7731" spans="1:3" x14ac:dyDescent="0.35">
      <c r="A7731" t="s">
        <v>155</v>
      </c>
      <c r="B7731">
        <v>2025</v>
      </c>
      <c r="C7731">
        <v>40211.754089114496</v>
      </c>
    </row>
    <row r="7732" spans="1:3" x14ac:dyDescent="0.35">
      <c r="A7732" t="s">
        <v>156</v>
      </c>
      <c r="B7732">
        <v>1960</v>
      </c>
      <c r="C7732">
        <v>526.8489003925996</v>
      </c>
    </row>
    <row r="7733" spans="1:3" x14ac:dyDescent="0.35">
      <c r="A7733" t="s">
        <v>156</v>
      </c>
      <c r="B7733">
        <v>1961</v>
      </c>
      <c r="C7733">
        <v>564.73640157658394</v>
      </c>
    </row>
    <row r="7734" spans="1:3" x14ac:dyDescent="0.35">
      <c r="A7734" t="s">
        <v>156</v>
      </c>
      <c r="B7734">
        <v>1962</v>
      </c>
      <c r="C7734">
        <v>636.25872524022805</v>
      </c>
    </row>
    <row r="7735" spans="1:3" x14ac:dyDescent="0.35">
      <c r="A7735" t="s">
        <v>156</v>
      </c>
      <c r="B7735">
        <v>1963</v>
      </c>
      <c r="C7735">
        <v>697.92256645293742</v>
      </c>
    </row>
    <row r="7736" spans="1:3" x14ac:dyDescent="0.35">
      <c r="A7736" t="s">
        <v>156</v>
      </c>
      <c r="B7736">
        <v>1964</v>
      </c>
      <c r="C7736">
        <v>758.61988977830015</v>
      </c>
    </row>
    <row r="7737" spans="1:3" x14ac:dyDescent="0.35">
      <c r="A7737" t="s">
        <v>156</v>
      </c>
      <c r="B7737">
        <v>1965</v>
      </c>
      <c r="C7737">
        <v>844.54332996340759</v>
      </c>
    </row>
    <row r="7738" spans="1:3" x14ac:dyDescent="0.35">
      <c r="A7738" t="s">
        <v>156</v>
      </c>
      <c r="B7738">
        <v>1966</v>
      </c>
      <c r="C7738">
        <v>906.98038548599425</v>
      </c>
    </row>
    <row r="7739" spans="1:3" x14ac:dyDescent="0.35">
      <c r="A7739" t="s">
        <v>156</v>
      </c>
      <c r="B7739">
        <v>1967</v>
      </c>
      <c r="C7739">
        <v>921.96141273986552</v>
      </c>
    </row>
    <row r="7740" spans="1:3" x14ac:dyDescent="0.35">
      <c r="A7740" t="s">
        <v>156</v>
      </c>
      <c r="B7740">
        <v>1968</v>
      </c>
      <c r="C7740">
        <v>941.00181512059248</v>
      </c>
    </row>
    <row r="7741" spans="1:3" x14ac:dyDescent="0.35">
      <c r="A7741" t="s">
        <v>156</v>
      </c>
      <c r="B7741">
        <v>1969</v>
      </c>
      <c r="C7741">
        <v>1017.2600764322345</v>
      </c>
    </row>
    <row r="7742" spans="1:3" x14ac:dyDescent="0.35">
      <c r="A7742" t="s">
        <v>156</v>
      </c>
      <c r="B7742">
        <v>1970</v>
      </c>
      <c r="C7742">
        <v>1118.1645438712135</v>
      </c>
    </row>
    <row r="7743" spans="1:3" x14ac:dyDescent="0.35">
      <c r="A7743" t="s">
        <v>156</v>
      </c>
      <c r="B7743">
        <v>1971</v>
      </c>
      <c r="C7743">
        <v>1238.8044269212685</v>
      </c>
    </row>
    <row r="7744" spans="1:3" x14ac:dyDescent="0.35">
      <c r="A7744" t="s">
        <v>156</v>
      </c>
      <c r="B7744">
        <v>1972</v>
      </c>
      <c r="C7744">
        <v>1458.0822355021189</v>
      </c>
    </row>
    <row r="7745" spans="1:3" x14ac:dyDescent="0.35">
      <c r="A7745" t="s">
        <v>156</v>
      </c>
      <c r="B7745">
        <v>1973</v>
      </c>
      <c r="C7745">
        <v>1702.2153529108705</v>
      </c>
    </row>
    <row r="7746" spans="1:3" x14ac:dyDescent="0.35">
      <c r="A7746" t="s">
        <v>156</v>
      </c>
      <c r="B7746">
        <v>1974</v>
      </c>
      <c r="C7746">
        <v>1855.0846732230787</v>
      </c>
    </row>
    <row r="7747" spans="1:3" x14ac:dyDescent="0.35">
      <c r="A7747" t="s">
        <v>156</v>
      </c>
      <c r="B7747">
        <v>1975</v>
      </c>
      <c r="C7747">
        <v>2232.3159585664434</v>
      </c>
    </row>
    <row r="7748" spans="1:3" x14ac:dyDescent="0.35">
      <c r="A7748" t="s">
        <v>156</v>
      </c>
      <c r="B7748">
        <v>1976</v>
      </c>
      <c r="C7748">
        <v>2345.4449033377796</v>
      </c>
    </row>
    <row r="7749" spans="1:3" x14ac:dyDescent="0.35">
      <c r="A7749" t="s">
        <v>156</v>
      </c>
      <c r="B7749">
        <v>1977</v>
      </c>
      <c r="C7749">
        <v>2560.3350559170308</v>
      </c>
    </row>
    <row r="7750" spans="1:3" x14ac:dyDescent="0.35">
      <c r="A7750" t="s">
        <v>156</v>
      </c>
      <c r="B7750">
        <v>1978</v>
      </c>
      <c r="C7750">
        <v>2873.3177380839093</v>
      </c>
    </row>
    <row r="7751" spans="1:3" x14ac:dyDescent="0.35">
      <c r="A7751" t="s">
        <v>156</v>
      </c>
      <c r="B7751">
        <v>1979</v>
      </c>
      <c r="C7751">
        <v>3368.143351651941</v>
      </c>
    </row>
    <row r="7752" spans="1:3" x14ac:dyDescent="0.35">
      <c r="A7752" t="s">
        <v>156</v>
      </c>
      <c r="B7752">
        <v>1980</v>
      </c>
      <c r="C7752">
        <v>3791.7566088278481</v>
      </c>
    </row>
    <row r="7753" spans="1:3" x14ac:dyDescent="0.35">
      <c r="A7753" t="s">
        <v>156</v>
      </c>
      <c r="B7753">
        <v>1981</v>
      </c>
      <c r="C7753">
        <v>3490.2161376455533</v>
      </c>
    </row>
    <row r="7754" spans="1:3" x14ac:dyDescent="0.35">
      <c r="A7754" t="s">
        <v>156</v>
      </c>
      <c r="B7754">
        <v>1982</v>
      </c>
      <c r="C7754">
        <v>2980.1308691769823</v>
      </c>
    </row>
    <row r="7755" spans="1:3" x14ac:dyDescent="0.35">
      <c r="A7755" t="s">
        <v>156</v>
      </c>
      <c r="B7755">
        <v>1983</v>
      </c>
      <c r="C7755">
        <v>2629.02188699523</v>
      </c>
    </row>
    <row r="7756" spans="1:3" x14ac:dyDescent="0.35">
      <c r="A7756" t="s">
        <v>156</v>
      </c>
      <c r="B7756">
        <v>1984</v>
      </c>
      <c r="C7756">
        <v>2668.5243840518383</v>
      </c>
    </row>
    <row r="7757" spans="1:3" x14ac:dyDescent="0.35">
      <c r="A7757" t="s">
        <v>156</v>
      </c>
      <c r="B7757">
        <v>1985</v>
      </c>
      <c r="C7757">
        <v>2795.2956326883559</v>
      </c>
    </row>
    <row r="7758" spans="1:3" x14ac:dyDescent="0.35">
      <c r="A7758" t="s">
        <v>156</v>
      </c>
      <c r="B7758">
        <v>1986</v>
      </c>
      <c r="C7758">
        <v>3577.4849162920896</v>
      </c>
    </row>
    <row r="7759" spans="1:3" x14ac:dyDescent="0.35">
      <c r="A7759" t="s">
        <v>156</v>
      </c>
      <c r="B7759">
        <v>1987</v>
      </c>
      <c r="C7759">
        <v>4469.5636264991072</v>
      </c>
    </row>
    <row r="7760" spans="1:3" x14ac:dyDescent="0.35">
      <c r="A7760" t="s">
        <v>156</v>
      </c>
      <c r="B7760">
        <v>1988</v>
      </c>
      <c r="C7760">
        <v>4917.6207535314134</v>
      </c>
    </row>
    <row r="7761" spans="1:3" x14ac:dyDescent="0.35">
      <c r="A7761" t="s">
        <v>156</v>
      </c>
      <c r="B7761">
        <v>1989</v>
      </c>
      <c r="C7761">
        <v>5032.9771920681005</v>
      </c>
    </row>
    <row r="7762" spans="1:3" x14ac:dyDescent="0.35">
      <c r="A7762" t="s">
        <v>156</v>
      </c>
      <c r="B7762">
        <v>1990</v>
      </c>
      <c r="C7762">
        <v>6169.5042398868682</v>
      </c>
    </row>
    <row r="7763" spans="1:3" x14ac:dyDescent="0.35">
      <c r="A7763" t="s">
        <v>156</v>
      </c>
      <c r="B7763">
        <v>1991</v>
      </c>
      <c r="C7763">
        <v>6219.460369377608</v>
      </c>
    </row>
    <row r="7764" spans="1:3" x14ac:dyDescent="0.35">
      <c r="A7764" t="s">
        <v>156</v>
      </c>
      <c r="B7764">
        <v>1992</v>
      </c>
      <c r="C7764">
        <v>6418.6282910043738</v>
      </c>
    </row>
    <row r="7765" spans="1:3" x14ac:dyDescent="0.35">
      <c r="A7765" t="s">
        <v>156</v>
      </c>
      <c r="B7765">
        <v>1993</v>
      </c>
      <c r="C7765">
        <v>5011.1583196611264</v>
      </c>
    </row>
    <row r="7766" spans="1:3" x14ac:dyDescent="0.35">
      <c r="A7766" t="s">
        <v>156</v>
      </c>
      <c r="B7766">
        <v>1994</v>
      </c>
      <c r="C7766">
        <v>5154.5042295395133</v>
      </c>
    </row>
    <row r="7767" spans="1:3" x14ac:dyDescent="0.35">
      <c r="A7767" t="s">
        <v>156</v>
      </c>
      <c r="B7767">
        <v>1995</v>
      </c>
      <c r="C7767">
        <v>5729.770497962365</v>
      </c>
    </row>
    <row r="7768" spans="1:3" x14ac:dyDescent="0.35">
      <c r="A7768" t="s">
        <v>156</v>
      </c>
      <c r="B7768">
        <v>1996</v>
      </c>
      <c r="C7768">
        <v>6203.4369426599615</v>
      </c>
    </row>
    <row r="7769" spans="1:3" x14ac:dyDescent="0.35">
      <c r="A7769" t="s">
        <v>156</v>
      </c>
      <c r="B7769">
        <v>1997</v>
      </c>
      <c r="C7769">
        <v>5203.2183829760479</v>
      </c>
    </row>
    <row r="7770" spans="1:3" x14ac:dyDescent="0.35">
      <c r="A7770" t="s">
        <v>156</v>
      </c>
      <c r="B7770">
        <v>1998</v>
      </c>
      <c r="C7770">
        <v>5132.2851820218448</v>
      </c>
    </row>
    <row r="7771" spans="1:3" x14ac:dyDescent="0.35">
      <c r="A7771" t="s">
        <v>156</v>
      </c>
      <c r="B7771">
        <v>1999</v>
      </c>
      <c r="C7771">
        <v>5148.7274324865684</v>
      </c>
    </row>
    <row r="7772" spans="1:3" x14ac:dyDescent="0.35">
      <c r="A7772" t="s">
        <v>156</v>
      </c>
      <c r="B7772">
        <v>2000</v>
      </c>
      <c r="C7772">
        <v>4789.4401369097513</v>
      </c>
    </row>
    <row r="7773" spans="1:3" x14ac:dyDescent="0.35">
      <c r="A7773" t="s">
        <v>156</v>
      </c>
      <c r="B7773">
        <v>2001</v>
      </c>
      <c r="C7773">
        <v>4128.0460059443703</v>
      </c>
    </row>
    <row r="7774" spans="1:3" x14ac:dyDescent="0.35">
      <c r="A7774" t="s">
        <v>156</v>
      </c>
      <c r="B7774">
        <v>2002</v>
      </c>
      <c r="C7774">
        <v>4354.5730154296134</v>
      </c>
    </row>
    <row r="7775" spans="1:3" x14ac:dyDescent="0.35">
      <c r="A7775" t="s">
        <v>156</v>
      </c>
      <c r="B7775">
        <v>2003</v>
      </c>
      <c r="C7775">
        <v>5305.6404041403357</v>
      </c>
    </row>
    <row r="7776" spans="1:3" x14ac:dyDescent="0.35">
      <c r="A7776" t="s">
        <v>156</v>
      </c>
      <c r="B7776">
        <v>2004</v>
      </c>
      <c r="C7776">
        <v>5514.7103848336274</v>
      </c>
    </row>
    <row r="7777" spans="1:3" x14ac:dyDescent="0.35">
      <c r="A7777" t="s">
        <v>156</v>
      </c>
      <c r="B7777">
        <v>2005</v>
      </c>
      <c r="C7777">
        <v>5518.4669259971452</v>
      </c>
    </row>
    <row r="7778" spans="1:3" x14ac:dyDescent="0.35">
      <c r="A7778" t="s">
        <v>156</v>
      </c>
      <c r="B7778">
        <v>2006</v>
      </c>
      <c r="C7778">
        <v>5577.2032663571981</v>
      </c>
    </row>
    <row r="7779" spans="1:3" x14ac:dyDescent="0.35">
      <c r="A7779" t="s">
        <v>156</v>
      </c>
      <c r="B7779">
        <v>2007</v>
      </c>
      <c r="C7779">
        <v>6386.2211615427068</v>
      </c>
    </row>
    <row r="7780" spans="1:3" x14ac:dyDescent="0.35">
      <c r="A7780" t="s">
        <v>156</v>
      </c>
      <c r="B7780">
        <v>2008</v>
      </c>
      <c r="C7780">
        <v>6024.7910060536178</v>
      </c>
    </row>
    <row r="7781" spans="1:3" x14ac:dyDescent="0.35">
      <c r="A7781" t="s">
        <v>156</v>
      </c>
      <c r="B7781">
        <v>2009</v>
      </c>
      <c r="C7781">
        <v>5062.9620241918419</v>
      </c>
    </row>
    <row r="7782" spans="1:3" x14ac:dyDescent="0.35">
      <c r="A7782" t="s">
        <v>156</v>
      </c>
      <c r="B7782">
        <v>2010</v>
      </c>
      <c r="C7782">
        <v>5885.9358003862635</v>
      </c>
    </row>
    <row r="7783" spans="1:3" x14ac:dyDescent="0.35">
      <c r="A7783" t="s">
        <v>156</v>
      </c>
      <c r="B7783">
        <v>2011</v>
      </c>
      <c r="C7783">
        <v>6324.7473643036001</v>
      </c>
    </row>
    <row r="7784" spans="1:3" x14ac:dyDescent="0.35">
      <c r="A7784" t="s">
        <v>156</v>
      </c>
      <c r="B7784">
        <v>2012</v>
      </c>
      <c r="C7784">
        <v>6243.6716053974751</v>
      </c>
    </row>
    <row r="7785" spans="1:3" x14ac:dyDescent="0.35">
      <c r="A7785" t="s">
        <v>156</v>
      </c>
      <c r="B7785">
        <v>2013</v>
      </c>
      <c r="C7785">
        <v>6528.7374673202376</v>
      </c>
    </row>
    <row r="7786" spans="1:3" x14ac:dyDescent="0.35">
      <c r="A7786" t="s">
        <v>156</v>
      </c>
      <c r="B7786">
        <v>2014</v>
      </c>
      <c r="C7786">
        <v>6555.5180638950205</v>
      </c>
    </row>
    <row r="7787" spans="1:3" x14ac:dyDescent="0.35">
      <c r="A7787" t="s">
        <v>156</v>
      </c>
      <c r="B7787">
        <v>2015</v>
      </c>
      <c r="C7787">
        <v>5386.9421958070952</v>
      </c>
    </row>
    <row r="7788" spans="1:3" x14ac:dyDescent="0.35">
      <c r="A7788" t="s">
        <v>156</v>
      </c>
      <c r="B7788">
        <v>2016</v>
      </c>
      <c r="C7788">
        <v>5429.928200116994</v>
      </c>
    </row>
    <row r="7789" spans="1:3" x14ac:dyDescent="0.35">
      <c r="A7789" t="s">
        <v>156</v>
      </c>
      <c r="B7789">
        <v>2017</v>
      </c>
      <c r="C7789">
        <v>5535.5913404836701</v>
      </c>
    </row>
    <row r="7790" spans="1:3" x14ac:dyDescent="0.35">
      <c r="A7790" t="s">
        <v>156</v>
      </c>
      <c r="B7790">
        <v>2018</v>
      </c>
      <c r="C7790">
        <v>5733.6663655776038</v>
      </c>
    </row>
    <row r="7791" spans="1:3" x14ac:dyDescent="0.35">
      <c r="A7791" t="s">
        <v>156</v>
      </c>
      <c r="B7791">
        <v>2019</v>
      </c>
      <c r="C7791">
        <v>5837.4880253504471</v>
      </c>
    </row>
    <row r="7792" spans="1:3" x14ac:dyDescent="0.35">
      <c r="A7792" t="s">
        <v>156</v>
      </c>
      <c r="B7792">
        <v>2020</v>
      </c>
      <c r="C7792">
        <v>6269.7136243539062</v>
      </c>
    </row>
    <row r="7793" spans="1:3" x14ac:dyDescent="0.35">
      <c r="A7793" t="s">
        <v>156</v>
      </c>
      <c r="B7793">
        <v>2021</v>
      </c>
      <c r="C7793">
        <v>7582.0549355871881</v>
      </c>
    </row>
    <row r="7794" spans="1:3" x14ac:dyDescent="0.35">
      <c r="A7794" t="s">
        <v>156</v>
      </c>
      <c r="B7794">
        <v>2022</v>
      </c>
      <c r="C7794">
        <v>7721.1758923711022</v>
      </c>
    </row>
    <row r="7795" spans="1:3" x14ac:dyDescent="0.35">
      <c r="A7795" t="s">
        <v>156</v>
      </c>
      <c r="B7795">
        <v>2023</v>
      </c>
      <c r="C7795">
        <v>8785.4460827357125</v>
      </c>
    </row>
    <row r="7796" spans="1:3" x14ac:dyDescent="0.35">
      <c r="A7796" t="s">
        <v>156</v>
      </c>
      <c r="B7796">
        <v>2024</v>
      </c>
      <c r="C7796">
        <v>12046.97008544414</v>
      </c>
    </row>
    <row r="7797" spans="1:3" x14ac:dyDescent="0.35">
      <c r="A7797" t="s">
        <v>156</v>
      </c>
      <c r="B7797">
        <v>2025</v>
      </c>
      <c r="C7797">
        <v>16473.477206496711</v>
      </c>
    </row>
    <row r="7798" spans="1:3" x14ac:dyDescent="0.35">
      <c r="A7798" t="s">
        <v>157</v>
      </c>
      <c r="B7798">
        <v>1957</v>
      </c>
      <c r="C7798">
        <v>201.46582970306085</v>
      </c>
    </row>
    <row r="7799" spans="1:3" x14ac:dyDescent="0.35">
      <c r="A7799" t="s">
        <v>157</v>
      </c>
      <c r="B7799">
        <v>1958</v>
      </c>
      <c r="C7799">
        <v>218.61672326461542</v>
      </c>
    </row>
    <row r="7800" spans="1:3" x14ac:dyDescent="0.35">
      <c r="A7800" t="s">
        <v>157</v>
      </c>
      <c r="B7800">
        <v>1959</v>
      </c>
      <c r="C7800">
        <v>210.61297293588993</v>
      </c>
    </row>
    <row r="7801" spans="1:3" x14ac:dyDescent="0.35">
      <c r="A7801" t="s">
        <v>157</v>
      </c>
      <c r="B7801">
        <v>1960</v>
      </c>
      <c r="C7801">
        <v>200.09375821813649</v>
      </c>
    </row>
    <row r="7802" spans="1:3" x14ac:dyDescent="0.35">
      <c r="A7802" t="s">
        <v>157</v>
      </c>
      <c r="B7802">
        <v>1961</v>
      </c>
      <c r="C7802">
        <v>237.36836689191506</v>
      </c>
    </row>
    <row r="7803" spans="1:3" x14ac:dyDescent="0.35">
      <c r="A7803" t="s">
        <v>157</v>
      </c>
      <c r="B7803">
        <v>1962</v>
      </c>
      <c r="C7803">
        <v>273.72826124241072</v>
      </c>
    </row>
    <row r="7804" spans="1:3" x14ac:dyDescent="0.35">
      <c r="A7804" t="s">
        <v>157</v>
      </c>
      <c r="B7804">
        <v>1963</v>
      </c>
      <c r="C7804">
        <v>294.99536925873832</v>
      </c>
    </row>
    <row r="7805" spans="1:3" x14ac:dyDescent="0.35">
      <c r="A7805" t="s">
        <v>157</v>
      </c>
      <c r="B7805">
        <v>1964</v>
      </c>
      <c r="C7805">
        <v>329.52583496266817</v>
      </c>
    </row>
    <row r="7806" spans="1:3" x14ac:dyDescent="0.35">
      <c r="A7806" t="s">
        <v>157</v>
      </c>
      <c r="B7806">
        <v>1965</v>
      </c>
      <c r="C7806">
        <v>343.47522839273256</v>
      </c>
    </row>
    <row r="7807" spans="1:3" x14ac:dyDescent="0.35">
      <c r="A7807" t="s">
        <v>157</v>
      </c>
      <c r="B7807">
        <v>1966</v>
      </c>
      <c r="C7807">
        <v>378.23437267748312</v>
      </c>
    </row>
    <row r="7808" spans="1:3" x14ac:dyDescent="0.35">
      <c r="A7808" t="s">
        <v>157</v>
      </c>
      <c r="B7808">
        <v>1967</v>
      </c>
      <c r="C7808">
        <v>383.26530145553915</v>
      </c>
    </row>
    <row r="7809" spans="1:3" x14ac:dyDescent="0.35">
      <c r="A7809" t="s">
        <v>157</v>
      </c>
      <c r="B7809">
        <v>1968</v>
      </c>
      <c r="C7809">
        <v>373.88947964188935</v>
      </c>
    </row>
    <row r="7810" spans="1:3" x14ac:dyDescent="0.35">
      <c r="A7810" t="s">
        <v>157</v>
      </c>
      <c r="B7810">
        <v>1969</v>
      </c>
      <c r="C7810">
        <v>409.10598108828134</v>
      </c>
    </row>
    <row r="7811" spans="1:3" x14ac:dyDescent="0.35">
      <c r="A7811" t="s">
        <v>157</v>
      </c>
      <c r="B7811">
        <v>1970</v>
      </c>
      <c r="C7811">
        <v>436.09005362512721</v>
      </c>
    </row>
    <row r="7812" spans="1:3" x14ac:dyDescent="0.35">
      <c r="A7812" t="s">
        <v>157</v>
      </c>
      <c r="B7812">
        <v>1971</v>
      </c>
      <c r="C7812">
        <v>511.38768944204554</v>
      </c>
    </row>
    <row r="7813" spans="1:3" x14ac:dyDescent="0.35">
      <c r="A7813" t="s">
        <v>157</v>
      </c>
      <c r="B7813">
        <v>1972</v>
      </c>
      <c r="C7813">
        <v>601.42698173725216</v>
      </c>
    </row>
    <row r="7814" spans="1:3" x14ac:dyDescent="0.35">
      <c r="A7814" t="s">
        <v>157</v>
      </c>
      <c r="B7814">
        <v>1973</v>
      </c>
      <c r="C7814">
        <v>764.96999838853912</v>
      </c>
    </row>
    <row r="7815" spans="1:3" x14ac:dyDescent="0.35">
      <c r="A7815" t="s">
        <v>157</v>
      </c>
      <c r="B7815">
        <v>1974</v>
      </c>
      <c r="C7815">
        <v>888.4786439540153</v>
      </c>
    </row>
    <row r="7816" spans="1:3" x14ac:dyDescent="0.35">
      <c r="A7816" t="s">
        <v>157</v>
      </c>
      <c r="B7816">
        <v>1975</v>
      </c>
      <c r="C7816">
        <v>1032.0461166553027</v>
      </c>
    </row>
    <row r="7817" spans="1:3" x14ac:dyDescent="0.35">
      <c r="A7817" t="s">
        <v>157</v>
      </c>
      <c r="B7817">
        <v>1976</v>
      </c>
      <c r="C7817">
        <v>1228.1768574674754</v>
      </c>
    </row>
    <row r="7818" spans="1:3" x14ac:dyDescent="0.35">
      <c r="A7818" t="s">
        <v>157</v>
      </c>
      <c r="B7818">
        <v>1977</v>
      </c>
      <c r="C7818">
        <v>1226.5344161895885</v>
      </c>
    </row>
    <row r="7819" spans="1:3" x14ac:dyDescent="0.35">
      <c r="A7819" t="s">
        <v>157</v>
      </c>
      <c r="B7819">
        <v>1978</v>
      </c>
      <c r="C7819">
        <v>1668.8851355130255</v>
      </c>
    </row>
    <row r="7820" spans="1:3" x14ac:dyDescent="0.35">
      <c r="A7820" t="s">
        <v>157</v>
      </c>
      <c r="B7820">
        <v>1979</v>
      </c>
      <c r="C7820">
        <v>1945.0057736720555</v>
      </c>
    </row>
    <row r="7821" spans="1:3" x14ac:dyDescent="0.35">
      <c r="A7821" t="s">
        <v>157</v>
      </c>
      <c r="B7821">
        <v>1980</v>
      </c>
      <c r="C7821">
        <v>1996.7655501250217</v>
      </c>
    </row>
    <row r="7822" spans="1:3" x14ac:dyDescent="0.35">
      <c r="A7822" t="s">
        <v>157</v>
      </c>
      <c r="B7822">
        <v>1981</v>
      </c>
      <c r="C7822">
        <v>1810.8785077179978</v>
      </c>
    </row>
    <row r="7823" spans="1:3" x14ac:dyDescent="0.35">
      <c r="A7823" t="s">
        <v>157</v>
      </c>
      <c r="B7823">
        <v>1982</v>
      </c>
      <c r="C7823">
        <v>1928.3149531835668</v>
      </c>
    </row>
    <row r="7824" spans="1:3" x14ac:dyDescent="0.35">
      <c r="A7824" t="s">
        <v>157</v>
      </c>
      <c r="B7824">
        <v>1983</v>
      </c>
      <c r="C7824">
        <v>1946.0350429223399</v>
      </c>
    </row>
    <row r="7825" spans="1:3" x14ac:dyDescent="0.35">
      <c r="A7825" t="s">
        <v>157</v>
      </c>
      <c r="B7825">
        <v>1984</v>
      </c>
      <c r="C7825">
        <v>1807.9057573797281</v>
      </c>
    </row>
    <row r="7826" spans="1:3" x14ac:dyDescent="0.35">
      <c r="A7826" t="s">
        <v>157</v>
      </c>
      <c r="B7826">
        <v>1985</v>
      </c>
      <c r="C7826">
        <v>1966.9288967209714</v>
      </c>
    </row>
    <row r="7827" spans="1:3" x14ac:dyDescent="0.35">
      <c r="A7827" t="s">
        <v>157</v>
      </c>
      <c r="B7827">
        <v>1986</v>
      </c>
      <c r="C7827">
        <v>2565.428145776355</v>
      </c>
    </row>
    <row r="7828" spans="1:3" x14ac:dyDescent="0.35">
      <c r="A7828" t="s">
        <v>157</v>
      </c>
      <c r="B7828">
        <v>1987</v>
      </c>
      <c r="C7828">
        <v>3020.4065209664764</v>
      </c>
    </row>
    <row r="7829" spans="1:3" x14ac:dyDescent="0.35">
      <c r="A7829" t="s">
        <v>157</v>
      </c>
      <c r="B7829">
        <v>1988</v>
      </c>
      <c r="C7829">
        <v>3276.156632269528</v>
      </c>
    </row>
    <row r="7830" spans="1:3" x14ac:dyDescent="0.35">
      <c r="A7830" t="s">
        <v>157</v>
      </c>
      <c r="B7830">
        <v>1989</v>
      </c>
      <c r="C7830">
        <v>3082.0389625472972</v>
      </c>
    </row>
    <row r="7831" spans="1:3" x14ac:dyDescent="0.35">
      <c r="A7831" t="s">
        <v>157</v>
      </c>
      <c r="B7831">
        <v>1990</v>
      </c>
      <c r="C7831">
        <v>4056.4081891214837</v>
      </c>
    </row>
    <row r="7832" spans="1:3" x14ac:dyDescent="0.35">
      <c r="A7832" t="s">
        <v>157</v>
      </c>
      <c r="B7832">
        <v>1991</v>
      </c>
      <c r="C7832">
        <v>4016.764412583072</v>
      </c>
    </row>
    <row r="7833" spans="1:3" x14ac:dyDescent="0.35">
      <c r="A7833" t="s">
        <v>157</v>
      </c>
      <c r="B7833">
        <v>1992</v>
      </c>
      <c r="C7833">
        <v>4138.0438338240101</v>
      </c>
    </row>
    <row r="7834" spans="1:3" x14ac:dyDescent="0.35">
      <c r="A7834" t="s">
        <v>157</v>
      </c>
      <c r="B7834">
        <v>1993</v>
      </c>
      <c r="C7834">
        <v>3611.2126257089103</v>
      </c>
    </row>
    <row r="7835" spans="1:3" x14ac:dyDescent="0.35">
      <c r="A7835" t="s">
        <v>157</v>
      </c>
      <c r="B7835">
        <v>1994</v>
      </c>
      <c r="C7835">
        <v>3899.2754205996971</v>
      </c>
    </row>
    <row r="7836" spans="1:3" x14ac:dyDescent="0.35">
      <c r="A7836" t="s">
        <v>157</v>
      </c>
      <c r="B7836">
        <v>1995</v>
      </c>
      <c r="C7836">
        <v>4645.3609816739536</v>
      </c>
    </row>
    <row r="7837" spans="1:3" x14ac:dyDescent="0.35">
      <c r="A7837" t="s">
        <v>157</v>
      </c>
      <c r="B7837">
        <v>1996</v>
      </c>
      <c r="C7837">
        <v>4239.4479009069501</v>
      </c>
    </row>
    <row r="7838" spans="1:3" x14ac:dyDescent="0.35">
      <c r="A7838" t="s">
        <v>157</v>
      </c>
      <c r="B7838">
        <v>1997</v>
      </c>
      <c r="C7838">
        <v>3498.2188505557046</v>
      </c>
    </row>
    <row r="7839" spans="1:3" x14ac:dyDescent="0.35">
      <c r="A7839" t="s">
        <v>157</v>
      </c>
      <c r="B7839">
        <v>1998</v>
      </c>
      <c r="C7839">
        <v>3494.2509708168654</v>
      </c>
    </row>
    <row r="7840" spans="1:3" x14ac:dyDescent="0.35">
      <c r="A7840" t="s">
        <v>157</v>
      </c>
      <c r="B7840">
        <v>1999</v>
      </c>
      <c r="C7840">
        <v>3146.82288719502</v>
      </c>
    </row>
    <row r="7841" spans="1:3" x14ac:dyDescent="0.35">
      <c r="A7841" t="s">
        <v>157</v>
      </c>
      <c r="B7841">
        <v>2000</v>
      </c>
      <c r="C7841">
        <v>2800.1468463560791</v>
      </c>
    </row>
    <row r="7842" spans="1:3" x14ac:dyDescent="0.35">
      <c r="A7842" t="s">
        <v>157</v>
      </c>
      <c r="B7842">
        <v>2001</v>
      </c>
      <c r="C7842">
        <v>2763.6553252509452</v>
      </c>
    </row>
    <row r="7843" spans="1:3" x14ac:dyDescent="0.35">
      <c r="A7843" t="s">
        <v>157</v>
      </c>
      <c r="B7843">
        <v>2002</v>
      </c>
      <c r="C7843">
        <v>2882.6967618583226</v>
      </c>
    </row>
    <row r="7844" spans="1:3" x14ac:dyDescent="0.35">
      <c r="A7844" t="s">
        <v>157</v>
      </c>
      <c r="B7844">
        <v>2003</v>
      </c>
      <c r="C7844">
        <v>3270.3375041770319</v>
      </c>
    </row>
    <row r="7845" spans="1:3" x14ac:dyDescent="0.35">
      <c r="A7845" t="s">
        <v>157</v>
      </c>
      <c r="B7845">
        <v>2004</v>
      </c>
      <c r="C7845">
        <v>3503.8198632891031</v>
      </c>
    </row>
    <row r="7846" spans="1:3" x14ac:dyDescent="0.35">
      <c r="A7846" t="s">
        <v>157</v>
      </c>
      <c r="B7846">
        <v>2005</v>
      </c>
      <c r="C7846">
        <v>3484.6367593440309</v>
      </c>
    </row>
    <row r="7847" spans="1:3" x14ac:dyDescent="0.35">
      <c r="A7847" t="s">
        <v>157</v>
      </c>
      <c r="B7847">
        <v>2006</v>
      </c>
      <c r="C7847">
        <v>3328.9733937344477</v>
      </c>
    </row>
    <row r="7848" spans="1:3" x14ac:dyDescent="0.35">
      <c r="A7848" t="s">
        <v>157</v>
      </c>
      <c r="B7848">
        <v>2007</v>
      </c>
      <c r="C7848">
        <v>3524.7465364845843</v>
      </c>
    </row>
    <row r="7849" spans="1:3" x14ac:dyDescent="0.35">
      <c r="A7849" t="s">
        <v>157</v>
      </c>
      <c r="B7849">
        <v>2008</v>
      </c>
      <c r="C7849">
        <v>4098.4590384917228</v>
      </c>
    </row>
    <row r="7850" spans="1:3" x14ac:dyDescent="0.35">
      <c r="A7850" t="s">
        <v>157</v>
      </c>
      <c r="B7850">
        <v>2009</v>
      </c>
      <c r="C7850">
        <v>4055.5443233407464</v>
      </c>
    </row>
    <row r="7851" spans="1:3" x14ac:dyDescent="0.35">
      <c r="A7851" t="s">
        <v>157</v>
      </c>
      <c r="B7851">
        <v>2010</v>
      </c>
      <c r="C7851">
        <v>4115.4078491912051</v>
      </c>
    </row>
    <row r="7852" spans="1:3" x14ac:dyDescent="0.35">
      <c r="A7852" t="s">
        <v>157</v>
      </c>
      <c r="B7852">
        <v>2011</v>
      </c>
      <c r="C7852">
        <v>4973.8638487819271</v>
      </c>
    </row>
    <row r="7853" spans="1:3" x14ac:dyDescent="0.35">
      <c r="A7853" t="s">
        <v>157</v>
      </c>
      <c r="B7853">
        <v>2012</v>
      </c>
      <c r="C7853">
        <v>4592.1653776752082</v>
      </c>
    </row>
    <row r="7854" spans="1:3" x14ac:dyDescent="0.35">
      <c r="A7854" t="s">
        <v>157</v>
      </c>
      <c r="B7854">
        <v>2013</v>
      </c>
      <c r="C7854">
        <v>5032.8836643276982</v>
      </c>
    </row>
    <row r="7855" spans="1:3" x14ac:dyDescent="0.35">
      <c r="A7855" t="s">
        <v>157</v>
      </c>
      <c r="B7855">
        <v>2014</v>
      </c>
      <c r="C7855">
        <v>4612.7764766848068</v>
      </c>
    </row>
    <row r="7856" spans="1:3" x14ac:dyDescent="0.35">
      <c r="A7856" t="s">
        <v>157</v>
      </c>
      <c r="B7856">
        <v>2015</v>
      </c>
      <c r="C7856">
        <v>4521.07690931875</v>
      </c>
    </row>
    <row r="7857" spans="1:3" x14ac:dyDescent="0.35">
      <c r="A7857" t="s">
        <v>157</v>
      </c>
      <c r="B7857">
        <v>2016</v>
      </c>
      <c r="C7857">
        <v>4571.3482466731139</v>
      </c>
    </row>
    <row r="7858" spans="1:3" x14ac:dyDescent="0.35">
      <c r="A7858" t="s">
        <v>157</v>
      </c>
      <c r="B7858">
        <v>2017</v>
      </c>
      <c r="C7858">
        <v>4628.4015085447727</v>
      </c>
    </row>
    <row r="7859" spans="1:3" x14ac:dyDescent="0.35">
      <c r="A7859" t="s">
        <v>157</v>
      </c>
      <c r="B7859">
        <v>2018</v>
      </c>
      <c r="C7859">
        <v>4736.8449674769709</v>
      </c>
    </row>
    <row r="7860" spans="1:3" x14ac:dyDescent="0.35">
      <c r="A7860" t="s">
        <v>157</v>
      </c>
      <c r="B7860">
        <v>2019</v>
      </c>
      <c r="C7860">
        <v>5021.9315895372238</v>
      </c>
    </row>
    <row r="7861" spans="1:3" x14ac:dyDescent="0.35">
      <c r="A7861" t="s">
        <v>157</v>
      </c>
      <c r="B7861">
        <v>2020</v>
      </c>
      <c r="C7861">
        <v>5731.6300394583395</v>
      </c>
    </row>
    <row r="7862" spans="1:3" x14ac:dyDescent="0.35">
      <c r="A7862" t="s">
        <v>157</v>
      </c>
      <c r="B7862">
        <v>2021</v>
      </c>
      <c r="C7862">
        <v>5486.1551228097387</v>
      </c>
    </row>
    <row r="7863" spans="1:3" x14ac:dyDescent="0.35">
      <c r="A7863" t="s">
        <v>157</v>
      </c>
      <c r="B7863">
        <v>2022</v>
      </c>
      <c r="C7863">
        <v>5650.9387772200889</v>
      </c>
    </row>
    <row r="7864" spans="1:3" x14ac:dyDescent="0.35">
      <c r="A7864" t="s">
        <v>157</v>
      </c>
      <c r="B7864">
        <v>2023</v>
      </c>
      <c r="C7864">
        <v>6311.5894445124595</v>
      </c>
    </row>
    <row r="7865" spans="1:3" x14ac:dyDescent="0.35">
      <c r="A7865" t="s">
        <v>157</v>
      </c>
      <c r="B7865">
        <v>2024</v>
      </c>
      <c r="C7865">
        <v>6536.2711293301008</v>
      </c>
    </row>
    <row r="7866" spans="1:3" x14ac:dyDescent="0.35">
      <c r="A7866" t="s">
        <v>157</v>
      </c>
      <c r="B7866">
        <v>2025</v>
      </c>
      <c r="C7866">
        <v>7591.4059010693863</v>
      </c>
    </row>
    <row r="7867" spans="1:3" x14ac:dyDescent="0.35">
      <c r="A7867" t="s">
        <v>158</v>
      </c>
      <c r="B7867">
        <v>1950</v>
      </c>
      <c r="C7867">
        <v>2603.2811536435802</v>
      </c>
    </row>
    <row r="7868" spans="1:3" x14ac:dyDescent="0.35">
      <c r="A7868" t="s">
        <v>158</v>
      </c>
      <c r="B7868">
        <v>1951</v>
      </c>
      <c r="C7868">
        <v>3362.5062645979606</v>
      </c>
    </row>
    <row r="7869" spans="1:3" x14ac:dyDescent="0.35">
      <c r="A7869" t="s">
        <v>158</v>
      </c>
      <c r="B7869">
        <v>1952</v>
      </c>
      <c r="C7869">
        <v>4564.7431413257227</v>
      </c>
    </row>
    <row r="7870" spans="1:3" x14ac:dyDescent="0.35">
      <c r="A7870" t="s">
        <v>158</v>
      </c>
      <c r="B7870">
        <v>1953</v>
      </c>
      <c r="C7870">
        <v>5168.9924048894154</v>
      </c>
    </row>
    <row r="7871" spans="1:3" x14ac:dyDescent="0.35">
      <c r="A7871" t="s">
        <v>158</v>
      </c>
      <c r="B7871">
        <v>1954</v>
      </c>
      <c r="C7871">
        <v>4999.9278440995749</v>
      </c>
    </row>
    <row r="7872" spans="1:3" x14ac:dyDescent="0.35">
      <c r="A7872" t="s">
        <v>158</v>
      </c>
      <c r="B7872">
        <v>1955</v>
      </c>
      <c r="C7872">
        <v>4907.5685007051243</v>
      </c>
    </row>
    <row r="7873" spans="1:3" x14ac:dyDescent="0.35">
      <c r="A7873" t="s">
        <v>158</v>
      </c>
      <c r="B7873">
        <v>1956</v>
      </c>
      <c r="C7873">
        <v>5018.7127952984456</v>
      </c>
    </row>
    <row r="7874" spans="1:3" x14ac:dyDescent="0.35">
      <c r="A7874" t="s">
        <v>158</v>
      </c>
      <c r="B7874">
        <v>1957</v>
      </c>
      <c r="C7874">
        <v>4960.0098228019733</v>
      </c>
    </row>
    <row r="7875" spans="1:3" x14ac:dyDescent="0.35">
      <c r="A7875" t="s">
        <v>158</v>
      </c>
      <c r="B7875">
        <v>1958</v>
      </c>
      <c r="C7875">
        <v>4967.8368858015028</v>
      </c>
    </row>
    <row r="7876" spans="1:3" x14ac:dyDescent="0.35">
      <c r="A7876" t="s">
        <v>158</v>
      </c>
      <c r="B7876">
        <v>1959</v>
      </c>
      <c r="C7876">
        <v>4976.4466551009855</v>
      </c>
    </row>
    <row r="7877" spans="1:3" x14ac:dyDescent="0.35">
      <c r="A7877" t="s">
        <v>158</v>
      </c>
      <c r="B7877">
        <v>1960</v>
      </c>
      <c r="C7877">
        <v>5129.8570898917678</v>
      </c>
    </row>
    <row r="7878" spans="1:3" x14ac:dyDescent="0.35">
      <c r="A7878" t="s">
        <v>158</v>
      </c>
      <c r="B7878">
        <v>1961</v>
      </c>
      <c r="C7878">
        <v>5308.314126281045</v>
      </c>
    </row>
    <row r="7879" spans="1:3" x14ac:dyDescent="0.35">
      <c r="A7879" t="s">
        <v>158</v>
      </c>
      <c r="B7879">
        <v>1962</v>
      </c>
      <c r="C7879">
        <v>5597.1327509636903</v>
      </c>
    </row>
    <row r="7880" spans="1:3" x14ac:dyDescent="0.35">
      <c r="A7880" t="s">
        <v>158</v>
      </c>
      <c r="B7880">
        <v>1963</v>
      </c>
      <c r="C7880">
        <v>5810.8115708508521</v>
      </c>
    </row>
    <row r="7881" spans="1:3" x14ac:dyDescent="0.35">
      <c r="A7881" t="s">
        <v>158</v>
      </c>
      <c r="B7881">
        <v>1964</v>
      </c>
      <c r="C7881">
        <v>6159.898580629877</v>
      </c>
    </row>
    <row r="7882" spans="1:3" x14ac:dyDescent="0.35">
      <c r="A7882" t="s">
        <v>158</v>
      </c>
      <c r="B7882">
        <v>1965</v>
      </c>
      <c r="C7882">
        <v>6475.3292195109243</v>
      </c>
    </row>
    <row r="7883" spans="1:3" x14ac:dyDescent="0.35">
      <c r="A7883" t="s">
        <v>158</v>
      </c>
      <c r="B7883">
        <v>1966</v>
      </c>
      <c r="C7883">
        <v>6692.1388645978977</v>
      </c>
    </row>
    <row r="7884" spans="1:3" x14ac:dyDescent="0.35">
      <c r="A7884" t="s">
        <v>158</v>
      </c>
      <c r="B7884">
        <v>1967</v>
      </c>
      <c r="C7884">
        <v>6933.1970773822241</v>
      </c>
    </row>
    <row r="7885" spans="1:3" x14ac:dyDescent="0.35">
      <c r="A7885" t="s">
        <v>158</v>
      </c>
      <c r="B7885">
        <v>1968</v>
      </c>
      <c r="C7885">
        <v>6220.4999230844041</v>
      </c>
    </row>
    <row r="7886" spans="1:3" x14ac:dyDescent="0.35">
      <c r="A7886" t="s">
        <v>158</v>
      </c>
      <c r="B7886">
        <v>1969</v>
      </c>
      <c r="C7886">
        <v>6199.70230686184</v>
      </c>
    </row>
    <row r="7887" spans="1:3" x14ac:dyDescent="0.35">
      <c r="A7887" t="s">
        <v>158</v>
      </c>
      <c r="B7887">
        <v>1970</v>
      </c>
      <c r="C7887">
        <v>6792.0989237819795</v>
      </c>
    </row>
    <row r="7888" spans="1:3" x14ac:dyDescent="0.35">
      <c r="A7888" t="s">
        <v>158</v>
      </c>
      <c r="B7888">
        <v>1971</v>
      </c>
      <c r="C7888">
        <v>7518.3851282038213</v>
      </c>
    </row>
    <row r="7889" spans="1:3" x14ac:dyDescent="0.35">
      <c r="A7889" t="s">
        <v>158</v>
      </c>
      <c r="B7889">
        <v>1972</v>
      </c>
      <c r="C7889">
        <v>8789.1926367361339</v>
      </c>
    </row>
    <row r="7890" spans="1:3" x14ac:dyDescent="0.35">
      <c r="A7890" t="s">
        <v>158</v>
      </c>
      <c r="B7890">
        <v>1973</v>
      </c>
      <c r="C7890">
        <v>9446.8941240414606</v>
      </c>
    </row>
    <row r="7891" spans="1:3" x14ac:dyDescent="0.35">
      <c r="A7891" t="s">
        <v>158</v>
      </c>
      <c r="B7891">
        <v>1974</v>
      </c>
      <c r="C7891">
        <v>10450.754431818577</v>
      </c>
    </row>
    <row r="7892" spans="1:3" x14ac:dyDescent="0.35">
      <c r="A7892" t="s">
        <v>158</v>
      </c>
      <c r="B7892">
        <v>1975</v>
      </c>
      <c r="C7892">
        <v>12907.674883701911</v>
      </c>
    </row>
    <row r="7893" spans="1:3" x14ac:dyDescent="0.35">
      <c r="A7893" t="s">
        <v>158</v>
      </c>
      <c r="B7893">
        <v>1976</v>
      </c>
      <c r="C7893">
        <v>12038.757739317738</v>
      </c>
    </row>
    <row r="7894" spans="1:3" x14ac:dyDescent="0.35">
      <c r="A7894" t="s">
        <v>158</v>
      </c>
      <c r="B7894">
        <v>1977</v>
      </c>
      <c r="C7894">
        <v>12952.124605677516</v>
      </c>
    </row>
    <row r="7895" spans="1:3" x14ac:dyDescent="0.35">
      <c r="A7895" t="s">
        <v>158</v>
      </c>
      <c r="B7895">
        <v>1978</v>
      </c>
      <c r="C7895">
        <v>15897.336095535706</v>
      </c>
    </row>
    <row r="7896" spans="1:3" x14ac:dyDescent="0.35">
      <c r="A7896" t="s">
        <v>158</v>
      </c>
      <c r="B7896">
        <v>1979</v>
      </c>
      <c r="C7896">
        <v>20544.684886402993</v>
      </c>
    </row>
    <row r="7897" spans="1:3" x14ac:dyDescent="0.35">
      <c r="A7897" t="s">
        <v>158</v>
      </c>
      <c r="B7897">
        <v>1980</v>
      </c>
      <c r="C7897">
        <v>28360.159219724948</v>
      </c>
    </row>
    <row r="7898" spans="1:3" x14ac:dyDescent="0.35">
      <c r="A7898" t="s">
        <v>158</v>
      </c>
      <c r="B7898">
        <v>1981</v>
      </c>
      <c r="C7898">
        <v>26948.261220556164</v>
      </c>
    </row>
    <row r="7899" spans="1:3" x14ac:dyDescent="0.35">
      <c r="A7899" t="s">
        <v>158</v>
      </c>
      <c r="B7899">
        <v>1982</v>
      </c>
      <c r="C7899">
        <v>27714.188335474231</v>
      </c>
    </row>
    <row r="7900" spans="1:3" x14ac:dyDescent="0.35">
      <c r="A7900" t="s">
        <v>158</v>
      </c>
      <c r="B7900">
        <v>1983</v>
      </c>
      <c r="C7900">
        <v>26423.122398885451</v>
      </c>
    </row>
    <row r="7901" spans="1:3" x14ac:dyDescent="0.35">
      <c r="A7901" t="s">
        <v>158</v>
      </c>
      <c r="B7901">
        <v>1984</v>
      </c>
      <c r="C7901">
        <v>25418.839536393752</v>
      </c>
    </row>
    <row r="7902" spans="1:3" x14ac:dyDescent="0.35">
      <c r="A7902" t="s">
        <v>158</v>
      </c>
      <c r="B7902">
        <v>1985</v>
      </c>
      <c r="C7902">
        <v>26031.881546001074</v>
      </c>
    </row>
    <row r="7903" spans="1:3" x14ac:dyDescent="0.35">
      <c r="A7903" t="s">
        <v>158</v>
      </c>
      <c r="B7903">
        <v>1986</v>
      </c>
      <c r="C7903">
        <v>30432.577939642495</v>
      </c>
    </row>
    <row r="7904" spans="1:3" x14ac:dyDescent="0.35">
      <c r="A7904" t="s">
        <v>158</v>
      </c>
      <c r="B7904">
        <v>1987</v>
      </c>
      <c r="C7904">
        <v>34921.759890191788</v>
      </c>
    </row>
    <row r="7905" spans="1:3" x14ac:dyDescent="0.35">
      <c r="A7905" t="s">
        <v>158</v>
      </c>
      <c r="B7905">
        <v>1988</v>
      </c>
      <c r="C7905">
        <v>38357.236513957832</v>
      </c>
    </row>
    <row r="7906" spans="1:3" x14ac:dyDescent="0.35">
      <c r="A7906" t="s">
        <v>158</v>
      </c>
      <c r="B7906">
        <v>1989</v>
      </c>
      <c r="C7906">
        <v>37456.646813310785</v>
      </c>
    </row>
    <row r="7907" spans="1:3" x14ac:dyDescent="0.35">
      <c r="A7907" t="s">
        <v>158</v>
      </c>
      <c r="B7907">
        <v>1990</v>
      </c>
      <c r="C7907">
        <v>43545.094840134334</v>
      </c>
    </row>
    <row r="7908" spans="1:3" x14ac:dyDescent="0.35">
      <c r="A7908" t="s">
        <v>158</v>
      </c>
      <c r="B7908">
        <v>1991</v>
      </c>
      <c r="C7908">
        <v>47045.457327368349</v>
      </c>
    </row>
    <row r="7909" spans="1:3" x14ac:dyDescent="0.35">
      <c r="A7909" t="s">
        <v>158</v>
      </c>
      <c r="B7909">
        <v>1992</v>
      </c>
      <c r="C7909">
        <v>45592.591817976521</v>
      </c>
    </row>
    <row r="7910" spans="1:3" x14ac:dyDescent="0.35">
      <c r="A7910" t="s">
        <v>158</v>
      </c>
      <c r="B7910">
        <v>1993</v>
      </c>
      <c r="C7910">
        <v>38113.206791460303</v>
      </c>
    </row>
    <row r="7911" spans="1:3" x14ac:dyDescent="0.35">
      <c r="A7911" t="s">
        <v>158</v>
      </c>
      <c r="B7911">
        <v>1994</v>
      </c>
      <c r="C7911">
        <v>38569.013504857394</v>
      </c>
    </row>
    <row r="7912" spans="1:3" x14ac:dyDescent="0.35">
      <c r="A7912" t="s">
        <v>158</v>
      </c>
      <c r="B7912">
        <v>1995</v>
      </c>
      <c r="C7912">
        <v>38294.283079834844</v>
      </c>
    </row>
    <row r="7913" spans="1:3" x14ac:dyDescent="0.35">
      <c r="A7913" t="s">
        <v>158</v>
      </c>
      <c r="B7913">
        <v>1996</v>
      </c>
      <c r="C7913">
        <v>38566.134645392056</v>
      </c>
    </row>
    <row r="7914" spans="1:3" x14ac:dyDescent="0.35">
      <c r="A7914" t="s">
        <v>158</v>
      </c>
      <c r="B7914">
        <v>1997</v>
      </c>
      <c r="C7914">
        <v>39889.947448983003</v>
      </c>
    </row>
    <row r="7915" spans="1:3" x14ac:dyDescent="0.35">
      <c r="A7915" t="s">
        <v>158</v>
      </c>
      <c r="B7915">
        <v>1998</v>
      </c>
      <c r="C7915">
        <v>41222.125832621496</v>
      </c>
    </row>
    <row r="7916" spans="1:3" x14ac:dyDescent="0.35">
      <c r="A7916" t="s">
        <v>158</v>
      </c>
      <c r="B7916">
        <v>1999</v>
      </c>
      <c r="C7916">
        <v>40760.400666565562</v>
      </c>
    </row>
    <row r="7917" spans="1:3" x14ac:dyDescent="0.35">
      <c r="A7917" t="s">
        <v>158</v>
      </c>
      <c r="B7917">
        <v>2000</v>
      </c>
      <c r="C7917">
        <v>39343.71127257817</v>
      </c>
    </row>
    <row r="7918" spans="1:3" x14ac:dyDescent="0.35">
      <c r="A7918" t="s">
        <v>158</v>
      </c>
      <c r="B7918">
        <v>2001</v>
      </c>
      <c r="C7918">
        <v>39512.579943649725</v>
      </c>
    </row>
    <row r="7919" spans="1:3" x14ac:dyDescent="0.35">
      <c r="A7919" t="s">
        <v>158</v>
      </c>
      <c r="B7919">
        <v>2002</v>
      </c>
      <c r="C7919">
        <v>44245.265998309413</v>
      </c>
    </row>
    <row r="7920" spans="1:3" x14ac:dyDescent="0.35">
      <c r="A7920" t="s">
        <v>158</v>
      </c>
      <c r="B7920">
        <v>2003</v>
      </c>
      <c r="C7920">
        <v>52343.122277067363</v>
      </c>
    </row>
    <row r="7921" spans="1:3" x14ac:dyDescent="0.35">
      <c r="A7921" t="s">
        <v>158</v>
      </c>
      <c r="B7921">
        <v>2004</v>
      </c>
      <c r="C7921">
        <v>60250.782544703208</v>
      </c>
    </row>
    <row r="7922" spans="1:3" x14ac:dyDescent="0.35">
      <c r="A7922" t="s">
        <v>158</v>
      </c>
      <c r="B7922">
        <v>2005</v>
      </c>
      <c r="C7922">
        <v>61653.635038461965</v>
      </c>
    </row>
    <row r="7923" spans="1:3" x14ac:dyDescent="0.35">
      <c r="A7923" t="s">
        <v>158</v>
      </c>
      <c r="B7923">
        <v>2006</v>
      </c>
      <c r="C7923">
        <v>64217.619528327261</v>
      </c>
    </row>
    <row r="7924" spans="1:3" x14ac:dyDescent="0.35">
      <c r="A7924" t="s">
        <v>158</v>
      </c>
      <c r="B7924">
        <v>2007</v>
      </c>
      <c r="C7924">
        <v>73448.032014166456</v>
      </c>
    </row>
    <row r="7925" spans="1:3" x14ac:dyDescent="0.35">
      <c r="A7925" t="s">
        <v>158</v>
      </c>
      <c r="B7925">
        <v>2008</v>
      </c>
      <c r="C7925">
        <v>72915.40766974038</v>
      </c>
    </row>
    <row r="7926" spans="1:3" x14ac:dyDescent="0.35">
      <c r="A7926" t="s">
        <v>158</v>
      </c>
      <c r="B7926">
        <v>2009</v>
      </c>
      <c r="C7926">
        <v>64010.50666980102</v>
      </c>
    </row>
    <row r="7927" spans="1:3" x14ac:dyDescent="0.35">
      <c r="A7927" t="s">
        <v>158</v>
      </c>
      <c r="B7927">
        <v>2010</v>
      </c>
      <c r="C7927">
        <v>63979.111970269434</v>
      </c>
    </row>
    <row r="7928" spans="1:3" x14ac:dyDescent="0.35">
      <c r="A7928" t="s">
        <v>158</v>
      </c>
      <c r="B7928">
        <v>2011</v>
      </c>
      <c r="C7928">
        <v>66569.552573134919</v>
      </c>
    </row>
    <row r="7929" spans="1:3" x14ac:dyDescent="0.35">
      <c r="A7929" t="s">
        <v>158</v>
      </c>
      <c r="B7929">
        <v>2012</v>
      </c>
      <c r="C7929">
        <v>65452.487554241619</v>
      </c>
    </row>
    <row r="7930" spans="1:3" x14ac:dyDescent="0.35">
      <c r="A7930" t="s">
        <v>158</v>
      </c>
      <c r="B7930">
        <v>2013</v>
      </c>
      <c r="C7930">
        <v>63837.724855431239</v>
      </c>
    </row>
    <row r="7931" spans="1:3" x14ac:dyDescent="0.35">
      <c r="A7931" t="s">
        <v>158</v>
      </c>
      <c r="B7931">
        <v>2014</v>
      </c>
      <c r="C7931">
        <v>66995.468654289478</v>
      </c>
    </row>
    <row r="7932" spans="1:3" x14ac:dyDescent="0.35">
      <c r="A7932" t="s">
        <v>158</v>
      </c>
      <c r="B7932">
        <v>2015</v>
      </c>
      <c r="C7932">
        <v>59990.205719324462</v>
      </c>
    </row>
    <row r="7933" spans="1:3" x14ac:dyDescent="0.35">
      <c r="A7933" t="s">
        <v>158</v>
      </c>
      <c r="B7933">
        <v>2016</v>
      </c>
      <c r="C7933">
        <v>53327.366087712755</v>
      </c>
    </row>
    <row r="7934" spans="1:3" x14ac:dyDescent="0.35">
      <c r="A7934" t="s">
        <v>158</v>
      </c>
      <c r="B7934">
        <v>2017</v>
      </c>
      <c r="C7934">
        <v>52075.008432054296</v>
      </c>
    </row>
    <row r="7935" spans="1:3" x14ac:dyDescent="0.35">
      <c r="A7935" t="s">
        <v>158</v>
      </c>
      <c r="B7935">
        <v>2018</v>
      </c>
      <c r="C7935">
        <v>55832.916405249249</v>
      </c>
    </row>
    <row r="7936" spans="1:3" x14ac:dyDescent="0.35">
      <c r="A7936" t="s">
        <v>158</v>
      </c>
      <c r="B7936">
        <v>2019</v>
      </c>
      <c r="C7936">
        <v>56567.602040816324</v>
      </c>
    </row>
    <row r="7937" spans="1:3" x14ac:dyDescent="0.35">
      <c r="A7937" t="s">
        <v>158</v>
      </c>
      <c r="B7937">
        <v>2020</v>
      </c>
      <c r="C7937">
        <v>58332.371794871797</v>
      </c>
    </row>
    <row r="7938" spans="1:3" x14ac:dyDescent="0.35">
      <c r="A7938" t="s">
        <v>158</v>
      </c>
      <c r="B7938">
        <v>2021</v>
      </c>
      <c r="C7938">
        <v>65148.595797799186</v>
      </c>
    </row>
    <row r="7939" spans="1:3" x14ac:dyDescent="0.35">
      <c r="A7939" t="s">
        <v>158</v>
      </c>
      <c r="B7939">
        <v>2022</v>
      </c>
      <c r="C7939">
        <v>64015.768189402559</v>
      </c>
    </row>
    <row r="7940" spans="1:3" x14ac:dyDescent="0.35">
      <c r="A7940" t="s">
        <v>158</v>
      </c>
      <c r="B7940">
        <v>2023</v>
      </c>
      <c r="C7940">
        <v>73609.224258371672</v>
      </c>
    </row>
    <row r="7941" spans="1:3" x14ac:dyDescent="0.35">
      <c r="A7941" t="s">
        <v>158</v>
      </c>
      <c r="B7941">
        <v>2024</v>
      </c>
      <c r="C7941">
        <v>89814.565861936018</v>
      </c>
    </row>
    <row r="7942" spans="1:3" x14ac:dyDescent="0.35">
      <c r="A7942" t="s">
        <v>158</v>
      </c>
      <c r="B7942">
        <v>2025</v>
      </c>
      <c r="C7942">
        <v>88977.496940392564</v>
      </c>
    </row>
    <row r="7943" spans="1:3" x14ac:dyDescent="0.35">
      <c r="A7943" t="s">
        <v>159</v>
      </c>
      <c r="B7943">
        <v>2022</v>
      </c>
      <c r="C7943">
        <v>900.31721456999333</v>
      </c>
    </row>
    <row r="7944" spans="1:3" x14ac:dyDescent="0.35">
      <c r="A7944" t="s">
        <v>159</v>
      </c>
      <c r="B7944">
        <v>2023</v>
      </c>
      <c r="C7944">
        <v>1273.7628618718156</v>
      </c>
    </row>
    <row r="7945" spans="1:3" x14ac:dyDescent="0.35">
      <c r="A7945" t="s">
        <v>159</v>
      </c>
      <c r="B7945">
        <v>2024</v>
      </c>
      <c r="C7945">
        <v>1187.7178293969898</v>
      </c>
    </row>
    <row r="7946" spans="1:3" x14ac:dyDescent="0.35">
      <c r="A7946" t="s">
        <v>159</v>
      </c>
      <c r="B7946">
        <v>2025</v>
      </c>
      <c r="C7946">
        <v>1202.1975046815423</v>
      </c>
    </row>
    <row r="7947" spans="1:3" x14ac:dyDescent="0.35">
      <c r="A7947" t="s">
        <v>160</v>
      </c>
      <c r="B7947">
        <v>1971</v>
      </c>
      <c r="C7947">
        <v>11.583922358233853</v>
      </c>
    </row>
    <row r="7948" spans="1:3" x14ac:dyDescent="0.35">
      <c r="A7948" t="s">
        <v>160</v>
      </c>
      <c r="B7948">
        <v>1972</v>
      </c>
      <c r="C7948">
        <v>12.539956862548392</v>
      </c>
    </row>
    <row r="7949" spans="1:3" x14ac:dyDescent="0.35">
      <c r="A7949" t="s">
        <v>160</v>
      </c>
      <c r="B7949">
        <v>1973</v>
      </c>
      <c r="C7949">
        <v>16.765508094987865</v>
      </c>
    </row>
    <row r="7950" spans="1:3" x14ac:dyDescent="0.35">
      <c r="A7950" t="s">
        <v>160</v>
      </c>
      <c r="B7950">
        <v>1974</v>
      </c>
      <c r="C7950">
        <v>26.34645589501951</v>
      </c>
    </row>
    <row r="7951" spans="1:3" x14ac:dyDescent="0.35">
      <c r="A7951" t="s">
        <v>160</v>
      </c>
      <c r="B7951">
        <v>1975</v>
      </c>
      <c r="C7951">
        <v>16.43489254108723</v>
      </c>
    </row>
    <row r="7952" spans="1:3" x14ac:dyDescent="0.35">
      <c r="A7952" t="s">
        <v>160</v>
      </c>
      <c r="B7952">
        <v>1976</v>
      </c>
      <c r="C7952">
        <v>26.289247445013764</v>
      </c>
    </row>
    <row r="7953" spans="1:3" x14ac:dyDescent="0.35">
      <c r="A7953" t="s">
        <v>160</v>
      </c>
      <c r="B7953">
        <v>1977</v>
      </c>
      <c r="C7953">
        <v>40.439782636168331</v>
      </c>
    </row>
    <row r="7954" spans="1:3" x14ac:dyDescent="0.35">
      <c r="A7954" t="s">
        <v>160</v>
      </c>
      <c r="B7954">
        <v>1978</v>
      </c>
      <c r="C7954">
        <v>116.14311929446927</v>
      </c>
    </row>
    <row r="7955" spans="1:3" x14ac:dyDescent="0.35">
      <c r="A7955" t="s">
        <v>160</v>
      </c>
      <c r="B7955">
        <v>1979</v>
      </c>
      <c r="C7955">
        <v>157.22570011294047</v>
      </c>
    </row>
    <row r="7956" spans="1:3" x14ac:dyDescent="0.35">
      <c r="A7956" t="s">
        <v>160</v>
      </c>
      <c r="B7956">
        <v>1980</v>
      </c>
      <c r="C7956">
        <v>175.06631299734747</v>
      </c>
    </row>
    <row r="7957" spans="1:3" x14ac:dyDescent="0.35">
      <c r="A7957" t="s">
        <v>160</v>
      </c>
      <c r="B7957">
        <v>1981</v>
      </c>
      <c r="C7957">
        <v>239.36170212765956</v>
      </c>
    </row>
    <row r="7958" spans="1:3" x14ac:dyDescent="0.35">
      <c r="A7958" t="s">
        <v>160</v>
      </c>
      <c r="B7958">
        <v>1982</v>
      </c>
      <c r="C7958">
        <v>311.1702127659575</v>
      </c>
    </row>
    <row r="7959" spans="1:3" x14ac:dyDescent="0.35">
      <c r="A7959" t="s">
        <v>160</v>
      </c>
      <c r="B7959">
        <v>1983</v>
      </c>
      <c r="C7959">
        <v>183.51063829787233</v>
      </c>
    </row>
    <row r="7960" spans="1:3" x14ac:dyDescent="0.35">
      <c r="A7960" t="s">
        <v>160</v>
      </c>
      <c r="B7960">
        <v>1984</v>
      </c>
      <c r="C7960">
        <v>164.89361702127658</v>
      </c>
    </row>
    <row r="7961" spans="1:3" x14ac:dyDescent="0.35">
      <c r="A7961" t="s">
        <v>160</v>
      </c>
      <c r="B7961">
        <v>1985</v>
      </c>
      <c r="C7961">
        <v>167.55319148936169</v>
      </c>
    </row>
    <row r="7962" spans="1:3" x14ac:dyDescent="0.35">
      <c r="A7962" t="s">
        <v>160</v>
      </c>
      <c r="B7962">
        <v>1986</v>
      </c>
      <c r="C7962">
        <v>178.19148936170211</v>
      </c>
    </row>
    <row r="7963" spans="1:3" x14ac:dyDescent="0.35">
      <c r="A7963" t="s">
        <v>160</v>
      </c>
      <c r="B7963">
        <v>1987</v>
      </c>
      <c r="C7963">
        <v>178.19148936170211</v>
      </c>
    </row>
    <row r="7964" spans="1:3" x14ac:dyDescent="0.35">
      <c r="A7964" t="s">
        <v>160</v>
      </c>
      <c r="B7964">
        <v>1988</v>
      </c>
      <c r="C7964">
        <v>207.44680851063831</v>
      </c>
    </row>
    <row r="7965" spans="1:3" x14ac:dyDescent="0.35">
      <c r="A7965" t="s">
        <v>160</v>
      </c>
      <c r="B7965">
        <v>1989</v>
      </c>
      <c r="C7965">
        <v>218.08510638297875</v>
      </c>
    </row>
    <row r="7966" spans="1:3" x14ac:dyDescent="0.35">
      <c r="A7966" t="s">
        <v>160</v>
      </c>
      <c r="B7966">
        <v>1990</v>
      </c>
      <c r="C7966">
        <v>239.36170212765956</v>
      </c>
    </row>
    <row r="7967" spans="1:3" x14ac:dyDescent="0.35">
      <c r="A7967" t="s">
        <v>160</v>
      </c>
      <c r="B7967">
        <v>1991</v>
      </c>
      <c r="C7967">
        <v>263.2978723404255</v>
      </c>
    </row>
    <row r="7968" spans="1:3" x14ac:dyDescent="0.35">
      <c r="A7968" t="s">
        <v>160</v>
      </c>
      <c r="B7968">
        <v>1992</v>
      </c>
      <c r="C7968">
        <v>279.25531914893617</v>
      </c>
    </row>
    <row r="7969" spans="1:3" x14ac:dyDescent="0.35">
      <c r="A7969" t="s">
        <v>160</v>
      </c>
      <c r="B7969">
        <v>1993</v>
      </c>
      <c r="C7969">
        <v>279.25531914893617</v>
      </c>
    </row>
    <row r="7970" spans="1:3" x14ac:dyDescent="0.35">
      <c r="A7970" t="s">
        <v>160</v>
      </c>
      <c r="B7970">
        <v>1994</v>
      </c>
      <c r="C7970">
        <v>284.57446808510639</v>
      </c>
    </row>
    <row r="7971" spans="1:3" x14ac:dyDescent="0.35">
      <c r="A7971" t="s">
        <v>160</v>
      </c>
      <c r="B7971">
        <v>1995</v>
      </c>
      <c r="C7971">
        <v>303.19148936170217</v>
      </c>
    </row>
    <row r="7972" spans="1:3" x14ac:dyDescent="0.35">
      <c r="A7972" t="s">
        <v>160</v>
      </c>
      <c r="B7972">
        <v>1996</v>
      </c>
      <c r="C7972">
        <v>321.80851063829783</v>
      </c>
    </row>
    <row r="7973" spans="1:3" x14ac:dyDescent="0.35">
      <c r="A7973" t="s">
        <v>160</v>
      </c>
      <c r="B7973">
        <v>1997</v>
      </c>
      <c r="C7973">
        <v>321.80851063829783</v>
      </c>
    </row>
    <row r="7974" spans="1:3" x14ac:dyDescent="0.35">
      <c r="A7974" t="s">
        <v>160</v>
      </c>
      <c r="B7974">
        <v>1998</v>
      </c>
      <c r="C7974">
        <v>329.78723404255317</v>
      </c>
    </row>
    <row r="7975" spans="1:3" x14ac:dyDescent="0.35">
      <c r="A7975" t="s">
        <v>160</v>
      </c>
      <c r="B7975">
        <v>1999</v>
      </c>
      <c r="C7975">
        <v>364.36170212765956</v>
      </c>
    </row>
    <row r="7976" spans="1:3" x14ac:dyDescent="0.35">
      <c r="A7976" t="s">
        <v>160</v>
      </c>
      <c r="B7976">
        <v>2000</v>
      </c>
      <c r="C7976">
        <v>359.04255319148933</v>
      </c>
    </row>
    <row r="7977" spans="1:3" x14ac:dyDescent="0.35">
      <c r="A7977" t="s">
        <v>160</v>
      </c>
      <c r="B7977">
        <v>2001</v>
      </c>
      <c r="C7977">
        <v>372.34042553191489</v>
      </c>
    </row>
    <row r="7978" spans="1:3" x14ac:dyDescent="0.35">
      <c r="A7978" t="s">
        <v>160</v>
      </c>
      <c r="B7978">
        <v>2002</v>
      </c>
      <c r="C7978">
        <v>444.14893617021272</v>
      </c>
    </row>
    <row r="7979" spans="1:3" x14ac:dyDescent="0.35">
      <c r="A7979" t="s">
        <v>160</v>
      </c>
      <c r="B7979">
        <v>2003</v>
      </c>
      <c r="C7979">
        <v>515.95744680851067</v>
      </c>
    </row>
    <row r="7980" spans="1:3" x14ac:dyDescent="0.35">
      <c r="A7980" t="s">
        <v>160</v>
      </c>
      <c r="B7980">
        <v>2004</v>
      </c>
      <c r="C7980">
        <v>531.91489361702122</v>
      </c>
    </row>
    <row r="7981" spans="1:3" x14ac:dyDescent="0.35">
      <c r="A7981" t="s">
        <v>160</v>
      </c>
      <c r="B7981">
        <v>2005</v>
      </c>
      <c r="C7981">
        <v>513.29787234042556</v>
      </c>
    </row>
    <row r="7982" spans="1:3" x14ac:dyDescent="0.35">
      <c r="A7982" t="s">
        <v>160</v>
      </c>
      <c r="B7982">
        <v>2006</v>
      </c>
      <c r="C7982">
        <v>574.20212765957456</v>
      </c>
    </row>
    <row r="7983" spans="1:3" x14ac:dyDescent="0.35">
      <c r="A7983" t="s">
        <v>160</v>
      </c>
      <c r="B7983">
        <v>2007</v>
      </c>
      <c r="C7983">
        <v>642.55319148936167</v>
      </c>
    </row>
    <row r="7984" spans="1:3" x14ac:dyDescent="0.35">
      <c r="A7984" t="s">
        <v>160</v>
      </c>
      <c r="B7984">
        <v>2008</v>
      </c>
      <c r="C7984">
        <v>719.94680851063822</v>
      </c>
    </row>
    <row r="7985" spans="1:3" x14ac:dyDescent="0.35">
      <c r="A7985" t="s">
        <v>160</v>
      </c>
      <c r="B7985">
        <v>2009</v>
      </c>
      <c r="C7985">
        <v>828.19148936170211</v>
      </c>
    </row>
    <row r="7986" spans="1:3" x14ac:dyDescent="0.35">
      <c r="A7986" t="s">
        <v>160</v>
      </c>
      <c r="B7986">
        <v>2010</v>
      </c>
      <c r="C7986">
        <v>842.81914893617022</v>
      </c>
    </row>
    <row r="7987" spans="1:3" x14ac:dyDescent="0.35">
      <c r="A7987" t="s">
        <v>160</v>
      </c>
      <c r="B7987">
        <v>2011</v>
      </c>
      <c r="C7987">
        <v>1033.5106382978722</v>
      </c>
    </row>
    <row r="7988" spans="1:3" x14ac:dyDescent="0.35">
      <c r="A7988" t="s">
        <v>160</v>
      </c>
      <c r="B7988">
        <v>2012</v>
      </c>
      <c r="C7988">
        <v>1182.18085106383</v>
      </c>
    </row>
    <row r="7989" spans="1:3" x14ac:dyDescent="0.35">
      <c r="A7989" t="s">
        <v>160</v>
      </c>
      <c r="B7989">
        <v>2013</v>
      </c>
      <c r="C7989">
        <v>1347.6063829787233</v>
      </c>
    </row>
    <row r="7990" spans="1:3" x14ac:dyDescent="0.35">
      <c r="A7990" t="s">
        <v>160</v>
      </c>
      <c r="B7990">
        <v>2014</v>
      </c>
      <c r="C7990">
        <v>1475.2659574468087</v>
      </c>
    </row>
    <row r="7991" spans="1:3" x14ac:dyDescent="0.35">
      <c r="A7991" t="s">
        <v>160</v>
      </c>
      <c r="B7991">
        <v>2015</v>
      </c>
      <c r="C7991">
        <v>1442.0212765957447</v>
      </c>
    </row>
    <row r="7992" spans="1:3" x14ac:dyDescent="0.35">
      <c r="A7992" t="s">
        <v>160</v>
      </c>
      <c r="B7992">
        <v>2016</v>
      </c>
      <c r="C7992">
        <v>1505.5345744680851</v>
      </c>
    </row>
    <row r="7993" spans="1:3" x14ac:dyDescent="0.35">
      <c r="A7993" t="s">
        <v>160</v>
      </c>
      <c r="B7993">
        <v>2017</v>
      </c>
      <c r="C7993">
        <v>1532.7127659574471</v>
      </c>
    </row>
    <row r="7994" spans="1:3" x14ac:dyDescent="0.35">
      <c r="A7994" t="s">
        <v>160</v>
      </c>
      <c r="B7994">
        <v>2018</v>
      </c>
      <c r="C7994">
        <v>1527.6595744680856</v>
      </c>
    </row>
    <row r="7995" spans="1:3" x14ac:dyDescent="0.35">
      <c r="A7995" t="s">
        <v>160</v>
      </c>
      <c r="B7995">
        <v>2019</v>
      </c>
      <c r="C7995">
        <v>1557.7127659574469</v>
      </c>
    </row>
    <row r="7996" spans="1:3" x14ac:dyDescent="0.35">
      <c r="A7996" t="s">
        <v>160</v>
      </c>
      <c r="B7996">
        <v>2020</v>
      </c>
      <c r="C7996">
        <v>1404.7872340425533</v>
      </c>
    </row>
    <row r="7997" spans="1:3" x14ac:dyDescent="0.35">
      <c r="A7997" t="s">
        <v>160</v>
      </c>
      <c r="B7997">
        <v>2021</v>
      </c>
      <c r="C7997">
        <v>1437.5</v>
      </c>
    </row>
    <row r="7998" spans="1:3" x14ac:dyDescent="0.35">
      <c r="A7998" t="s">
        <v>160</v>
      </c>
      <c r="B7998">
        <v>2022</v>
      </c>
      <c r="C7998">
        <v>1598.06914893617</v>
      </c>
    </row>
    <row r="7999" spans="1:3" x14ac:dyDescent="0.35">
      <c r="A7999" t="s">
        <v>160</v>
      </c>
      <c r="B7999">
        <v>2023</v>
      </c>
      <c r="C7999">
        <v>1622.3936170212764</v>
      </c>
    </row>
    <row r="8000" spans="1:3" x14ac:dyDescent="0.35">
      <c r="A8000" t="s">
        <v>160</v>
      </c>
      <c r="B8000">
        <v>2024</v>
      </c>
      <c r="C8000">
        <v>1383.9734042553191</v>
      </c>
    </row>
    <row r="8001" spans="1:3" x14ac:dyDescent="0.35">
      <c r="A8001" t="s">
        <v>160</v>
      </c>
      <c r="B8001">
        <v>2025</v>
      </c>
      <c r="C8001">
        <v>1468.1515957446809</v>
      </c>
    </row>
    <row r="8002" spans="1:3" x14ac:dyDescent="0.35">
      <c r="A8002" t="s">
        <v>161</v>
      </c>
      <c r="B8002">
        <v>1962</v>
      </c>
      <c r="C8002">
        <v>249.69776681195285</v>
      </c>
    </row>
    <row r="8003" spans="1:3" x14ac:dyDescent="0.35">
      <c r="A8003" t="s">
        <v>161</v>
      </c>
      <c r="B8003">
        <v>1963</v>
      </c>
      <c r="C8003">
        <v>335.79969778027203</v>
      </c>
    </row>
    <row r="8004" spans="1:3" x14ac:dyDescent="0.35">
      <c r="A8004" t="s">
        <v>161</v>
      </c>
      <c r="B8004">
        <v>1964</v>
      </c>
      <c r="C8004">
        <v>448.49959635036333</v>
      </c>
    </row>
    <row r="8005" spans="1:3" x14ac:dyDescent="0.35">
      <c r="A8005" t="s">
        <v>161</v>
      </c>
      <c r="B8005">
        <v>1965</v>
      </c>
      <c r="C8005">
        <v>515.19953632041734</v>
      </c>
    </row>
    <row r="8006" spans="1:3" x14ac:dyDescent="0.35">
      <c r="A8006" t="s">
        <v>161</v>
      </c>
      <c r="B8006">
        <v>1966</v>
      </c>
      <c r="C8006">
        <v>481.84956633539031</v>
      </c>
    </row>
    <row r="8007" spans="1:3" x14ac:dyDescent="0.35">
      <c r="A8007" t="s">
        <v>161</v>
      </c>
      <c r="B8007">
        <v>1967</v>
      </c>
      <c r="C8007">
        <v>508.29954253041177</v>
      </c>
    </row>
    <row r="8008" spans="1:3" x14ac:dyDescent="0.35">
      <c r="A8008" t="s">
        <v>161</v>
      </c>
      <c r="B8008">
        <v>1968</v>
      </c>
      <c r="C8008">
        <v>648.59941626052535</v>
      </c>
    </row>
    <row r="8009" spans="1:3" x14ac:dyDescent="0.35">
      <c r="A8009" t="s">
        <v>161</v>
      </c>
      <c r="B8009">
        <v>1969</v>
      </c>
      <c r="C8009">
        <v>888.94919994572012</v>
      </c>
    </row>
    <row r="8010" spans="1:3" x14ac:dyDescent="0.35">
      <c r="A8010" t="s">
        <v>161</v>
      </c>
      <c r="B8010">
        <v>1970</v>
      </c>
      <c r="C8010">
        <v>1092.4990167508849</v>
      </c>
    </row>
    <row r="8011" spans="1:3" x14ac:dyDescent="0.35">
      <c r="A8011" t="s">
        <v>161</v>
      </c>
      <c r="B8011">
        <v>1971</v>
      </c>
      <c r="C8011">
        <v>1266.1488604660256</v>
      </c>
    </row>
    <row r="8012" spans="1:3" x14ac:dyDescent="0.35">
      <c r="A8012" t="s">
        <v>161</v>
      </c>
      <c r="B8012">
        <v>1972</v>
      </c>
      <c r="C8012">
        <v>1066.0490405558637</v>
      </c>
    </row>
    <row r="8013" spans="1:3" x14ac:dyDescent="0.35">
      <c r="A8013" t="s">
        <v>161</v>
      </c>
      <c r="B8013">
        <v>1973</v>
      </c>
      <c r="C8013">
        <v>1243.8561046949917</v>
      </c>
    </row>
    <row r="8014" spans="1:3" x14ac:dyDescent="0.35">
      <c r="A8014" t="s">
        <v>161</v>
      </c>
      <c r="B8014">
        <v>1974</v>
      </c>
      <c r="C8014">
        <v>1852.779424692822</v>
      </c>
    </row>
    <row r="8015" spans="1:3" x14ac:dyDescent="0.35">
      <c r="A8015" t="s">
        <v>161</v>
      </c>
      <c r="B8015">
        <v>1975</v>
      </c>
      <c r="C8015">
        <v>1926.8906016805349</v>
      </c>
    </row>
    <row r="8016" spans="1:3" x14ac:dyDescent="0.35">
      <c r="A8016" t="s">
        <v>161</v>
      </c>
      <c r="B8016">
        <v>1976</v>
      </c>
      <c r="C8016">
        <v>2201.6130681005047</v>
      </c>
    </row>
    <row r="8017" spans="1:3" x14ac:dyDescent="0.35">
      <c r="A8017" t="s">
        <v>161</v>
      </c>
      <c r="B8017">
        <v>1977</v>
      </c>
      <c r="C8017">
        <v>2751.0580009404453</v>
      </c>
    </row>
    <row r="8018" spans="1:3" x14ac:dyDescent="0.35">
      <c r="A8018" t="s">
        <v>161</v>
      </c>
      <c r="B8018">
        <v>1978</v>
      </c>
      <c r="C8018">
        <v>2485.2799869155442</v>
      </c>
    </row>
    <row r="8019" spans="1:3" x14ac:dyDescent="0.35">
      <c r="A8019" t="s">
        <v>161</v>
      </c>
      <c r="B8019">
        <v>1979</v>
      </c>
      <c r="C8019">
        <v>1152.8554959207202</v>
      </c>
    </row>
    <row r="8020" spans="1:3" x14ac:dyDescent="0.35">
      <c r="A8020" t="s">
        <v>161</v>
      </c>
      <c r="B8020">
        <v>1980</v>
      </c>
      <c r="C8020">
        <v>1361.4266265333908</v>
      </c>
    </row>
    <row r="8021" spans="1:3" x14ac:dyDescent="0.35">
      <c r="A8021" t="s">
        <v>161</v>
      </c>
      <c r="B8021">
        <v>1981</v>
      </c>
      <c r="C8021">
        <v>1817.1402612281984</v>
      </c>
    </row>
    <row r="8022" spans="1:3" x14ac:dyDescent="0.35">
      <c r="A8022" t="s">
        <v>161</v>
      </c>
      <c r="B8022">
        <v>1982</v>
      </c>
      <c r="C8022">
        <v>2307.1395612291985</v>
      </c>
    </row>
    <row r="8023" spans="1:3" x14ac:dyDescent="0.35">
      <c r="A8023" t="s">
        <v>161</v>
      </c>
      <c r="B8023">
        <v>1983</v>
      </c>
      <c r="C8023">
        <v>3004.2814224551112</v>
      </c>
    </row>
    <row r="8024" spans="1:3" x14ac:dyDescent="0.35">
      <c r="A8024" t="s">
        <v>161</v>
      </c>
      <c r="B8024">
        <v>1984</v>
      </c>
      <c r="C8024">
        <v>3742.1375112321266</v>
      </c>
    </row>
    <row r="8025" spans="1:3" x14ac:dyDescent="0.35">
      <c r="A8025" t="s">
        <v>161</v>
      </c>
      <c r="B8025">
        <v>1985</v>
      </c>
      <c r="C8025">
        <v>4203.5654234779668</v>
      </c>
    </row>
    <row r="8026" spans="1:3" x14ac:dyDescent="0.35">
      <c r="A8026" t="s">
        <v>161</v>
      </c>
      <c r="B8026">
        <v>1986</v>
      </c>
      <c r="C8026">
        <v>4727.1361040912798</v>
      </c>
    </row>
    <row r="8027" spans="1:3" x14ac:dyDescent="0.35">
      <c r="A8027" t="s">
        <v>161</v>
      </c>
      <c r="B8027">
        <v>1987</v>
      </c>
      <c r="C8027">
        <v>4805.7074204179708</v>
      </c>
    </row>
    <row r="8028" spans="1:3" x14ac:dyDescent="0.35">
      <c r="A8028" t="s">
        <v>161</v>
      </c>
      <c r="B8028">
        <v>1988</v>
      </c>
      <c r="C8028">
        <v>4453.56506633562</v>
      </c>
    </row>
    <row r="8029" spans="1:3" x14ac:dyDescent="0.35">
      <c r="A8029" t="s">
        <v>161</v>
      </c>
      <c r="B8029">
        <v>1989</v>
      </c>
      <c r="C8029">
        <v>3516.3448014058458</v>
      </c>
    </row>
    <row r="8030" spans="1:3" x14ac:dyDescent="0.35">
      <c r="A8030" t="s">
        <v>161</v>
      </c>
      <c r="B8030">
        <v>1990</v>
      </c>
      <c r="C8030">
        <v>2260.6451612903224</v>
      </c>
    </row>
    <row r="8031" spans="1:3" x14ac:dyDescent="0.35">
      <c r="A8031" t="s">
        <v>161</v>
      </c>
      <c r="B8031">
        <v>1991</v>
      </c>
      <c r="C8031">
        <v>1345.7573430294995</v>
      </c>
    </row>
    <row r="8032" spans="1:3" x14ac:dyDescent="0.35">
      <c r="A8032" t="s">
        <v>161</v>
      </c>
      <c r="B8032">
        <v>1992</v>
      </c>
      <c r="C8032">
        <v>1415.8199744110784</v>
      </c>
    </row>
    <row r="8033" spans="1:3" x14ac:dyDescent="0.35">
      <c r="A8033" t="s">
        <v>161</v>
      </c>
      <c r="B8033">
        <v>1993</v>
      </c>
      <c r="C8033">
        <v>1526.1653920036269</v>
      </c>
    </row>
    <row r="8034" spans="1:3" x14ac:dyDescent="0.35">
      <c r="A8034" t="s">
        <v>161</v>
      </c>
      <c r="B8034">
        <v>1994</v>
      </c>
      <c r="C8034">
        <v>1714.4097863302147</v>
      </c>
    </row>
    <row r="8035" spans="1:3" x14ac:dyDescent="0.35">
      <c r="A8035" t="s">
        <v>161</v>
      </c>
      <c r="B8035">
        <v>1995</v>
      </c>
      <c r="C8035">
        <v>1948.8769857998177</v>
      </c>
    </row>
    <row r="8036" spans="1:3" x14ac:dyDescent="0.35">
      <c r="A8036" t="s">
        <v>161</v>
      </c>
      <c r="B8036">
        <v>1996</v>
      </c>
      <c r="C8036">
        <v>2115.7429794661916</v>
      </c>
    </row>
    <row r="8037" spans="1:3" x14ac:dyDescent="0.35">
      <c r="A8037" t="s">
        <v>161</v>
      </c>
      <c r="B8037">
        <v>1997</v>
      </c>
      <c r="C8037">
        <v>2267.6503135374405</v>
      </c>
    </row>
    <row r="8038" spans="1:3" x14ac:dyDescent="0.35">
      <c r="A8038" t="s">
        <v>161</v>
      </c>
      <c r="B8038">
        <v>1998</v>
      </c>
      <c r="C8038">
        <v>2372.0484061393149</v>
      </c>
    </row>
    <row r="8039" spans="1:3" x14ac:dyDescent="0.35">
      <c r="A8039" t="s">
        <v>161</v>
      </c>
      <c r="B8039">
        <v>1999</v>
      </c>
      <c r="C8039">
        <v>2447.9787939032472</v>
      </c>
    </row>
    <row r="8040" spans="1:3" x14ac:dyDescent="0.35">
      <c r="A8040" t="s">
        <v>161</v>
      </c>
      <c r="B8040">
        <v>2000</v>
      </c>
      <c r="C8040">
        <v>2627.6983338373584</v>
      </c>
    </row>
    <row r="8041" spans="1:3" x14ac:dyDescent="0.35">
      <c r="A8041" t="s">
        <v>161</v>
      </c>
      <c r="B8041">
        <v>2001</v>
      </c>
      <c r="C8041">
        <v>2834.256229549459</v>
      </c>
    </row>
    <row r="8042" spans="1:3" x14ac:dyDescent="0.35">
      <c r="A8042" t="s">
        <v>161</v>
      </c>
      <c r="B8042">
        <v>2002</v>
      </c>
      <c r="C8042">
        <v>2902.7684252400732</v>
      </c>
    </row>
    <row r="8043" spans="1:3" x14ac:dyDescent="0.35">
      <c r="A8043" t="s">
        <v>161</v>
      </c>
      <c r="B8043">
        <v>2003</v>
      </c>
      <c r="C8043">
        <v>2383.9148982717129</v>
      </c>
    </row>
    <row r="8044" spans="1:3" x14ac:dyDescent="0.35">
      <c r="A8044" t="s">
        <v>161</v>
      </c>
      <c r="B8044">
        <v>2004</v>
      </c>
      <c r="C8044">
        <v>2369.7435864330628</v>
      </c>
    </row>
    <row r="8045" spans="1:3" x14ac:dyDescent="0.35">
      <c r="A8045" t="s">
        <v>161</v>
      </c>
      <c r="B8045">
        <v>2005</v>
      </c>
      <c r="C8045">
        <v>2659.4397135752392</v>
      </c>
    </row>
    <row r="8046" spans="1:3" x14ac:dyDescent="0.35">
      <c r="A8046" t="s">
        <v>161</v>
      </c>
      <c r="B8046">
        <v>2006</v>
      </c>
      <c r="C8046">
        <v>2952.5201590045294</v>
      </c>
    </row>
    <row r="8047" spans="1:3" x14ac:dyDescent="0.35">
      <c r="A8047" t="s">
        <v>161</v>
      </c>
      <c r="B8047">
        <v>2007</v>
      </c>
      <c r="C8047">
        <v>3306.9082572226075</v>
      </c>
    </row>
    <row r="8048" spans="1:3" x14ac:dyDescent="0.35">
      <c r="A8048" t="s">
        <v>161</v>
      </c>
      <c r="B8048">
        <v>2008</v>
      </c>
      <c r="C8048">
        <v>3779.8803497468934</v>
      </c>
    </row>
    <row r="8049" spans="1:3" x14ac:dyDescent="0.35">
      <c r="A8049" t="s">
        <v>161</v>
      </c>
      <c r="B8049">
        <v>2009</v>
      </c>
      <c r="C8049">
        <v>4017.4044782714559</v>
      </c>
    </row>
    <row r="8050" spans="1:3" x14ac:dyDescent="0.35">
      <c r="A8050" t="s">
        <v>161</v>
      </c>
      <c r="B8050">
        <v>2010</v>
      </c>
      <c r="C8050">
        <v>4407.2864527191678</v>
      </c>
    </row>
    <row r="8051" spans="1:3" x14ac:dyDescent="0.35">
      <c r="A8051" t="s">
        <v>161</v>
      </c>
      <c r="B8051">
        <v>2011</v>
      </c>
      <c r="C8051">
        <v>4463.9741910690173</v>
      </c>
    </row>
    <row r="8052" spans="1:3" x14ac:dyDescent="0.35">
      <c r="A8052" t="s">
        <v>161</v>
      </c>
      <c r="B8052">
        <v>2012</v>
      </c>
      <c r="C8052">
        <v>4557.7487673503892</v>
      </c>
    </row>
    <row r="8053" spans="1:3" x14ac:dyDescent="0.35">
      <c r="A8053" t="s">
        <v>161</v>
      </c>
      <c r="B8053">
        <v>2013</v>
      </c>
      <c r="C8053">
        <v>4359.8342437699503</v>
      </c>
    </row>
    <row r="8054" spans="1:3" x14ac:dyDescent="0.35">
      <c r="A8054" t="s">
        <v>161</v>
      </c>
      <c r="B8054">
        <v>2014</v>
      </c>
      <c r="C8054">
        <v>5085.1215762797301</v>
      </c>
    </row>
    <row r="8055" spans="1:3" x14ac:dyDescent="0.35">
      <c r="A8055" t="s">
        <v>161</v>
      </c>
      <c r="B8055">
        <v>2015</v>
      </c>
      <c r="C8055">
        <v>5475.4908334416859</v>
      </c>
    </row>
    <row r="8056" spans="1:3" x14ac:dyDescent="0.35">
      <c r="A8056" t="s">
        <v>161</v>
      </c>
      <c r="B8056">
        <v>2016</v>
      </c>
      <c r="C8056">
        <v>4513.0225268163158</v>
      </c>
    </row>
    <row r="8057" spans="1:3" x14ac:dyDescent="0.35">
      <c r="A8057" t="s">
        <v>161</v>
      </c>
      <c r="B8057">
        <v>2017</v>
      </c>
      <c r="C8057">
        <v>2765.5884340120665</v>
      </c>
    </row>
    <row r="8058" spans="1:3" x14ac:dyDescent="0.35">
      <c r="A8058" t="s">
        <v>161</v>
      </c>
      <c r="B8058">
        <v>2018</v>
      </c>
      <c r="C8058">
        <v>3119.587363842486</v>
      </c>
    </row>
    <row r="8059" spans="1:3" x14ac:dyDescent="0.35">
      <c r="A8059" t="s">
        <v>161</v>
      </c>
      <c r="B8059">
        <v>2019</v>
      </c>
      <c r="C8059">
        <v>3743.6714515456547</v>
      </c>
    </row>
    <row r="8060" spans="1:3" x14ac:dyDescent="0.35">
      <c r="A8060" t="s">
        <v>161</v>
      </c>
      <c r="B8060">
        <v>2020</v>
      </c>
      <c r="C8060">
        <v>4505.3746443250084</v>
      </c>
    </row>
    <row r="8061" spans="1:3" x14ac:dyDescent="0.35">
      <c r="A8061" t="s">
        <v>161</v>
      </c>
      <c r="B8061">
        <v>2021</v>
      </c>
      <c r="C8061">
        <v>5165.4456265528452</v>
      </c>
    </row>
    <row r="8062" spans="1:3" x14ac:dyDescent="0.35">
      <c r="A8062" t="s">
        <v>161</v>
      </c>
      <c r="B8062">
        <v>2022</v>
      </c>
      <c r="C8062">
        <v>4645.9220475087996</v>
      </c>
    </row>
    <row r="8063" spans="1:3" x14ac:dyDescent="0.35">
      <c r="A8063" t="s">
        <v>161</v>
      </c>
      <c r="B8063">
        <v>2023</v>
      </c>
      <c r="C8063">
        <v>3167.1501259135607</v>
      </c>
    </row>
    <row r="8064" spans="1:3" x14ac:dyDescent="0.35">
      <c r="A8064" t="s">
        <v>161</v>
      </c>
      <c r="B8064">
        <v>2024</v>
      </c>
      <c r="C8064">
        <v>2398.4243892725844</v>
      </c>
    </row>
    <row r="8065" spans="1:3" x14ac:dyDescent="0.35">
      <c r="A8065" t="s">
        <v>161</v>
      </c>
      <c r="B8065">
        <v>2025</v>
      </c>
      <c r="C8065">
        <v>2501.7478152309614</v>
      </c>
    </row>
    <row r="8066" spans="1:3" x14ac:dyDescent="0.35">
      <c r="A8066" t="s">
        <v>162</v>
      </c>
      <c r="B8066">
        <v>1960</v>
      </c>
      <c r="C8066">
        <v>98.679867986798669</v>
      </c>
    </row>
    <row r="8067" spans="1:3" x14ac:dyDescent="0.35">
      <c r="A8067" t="s">
        <v>162</v>
      </c>
      <c r="B8067">
        <v>1961</v>
      </c>
      <c r="C8067">
        <v>105.94059405940594</v>
      </c>
    </row>
    <row r="8068" spans="1:3" x14ac:dyDescent="0.35">
      <c r="A8068" t="s">
        <v>162</v>
      </c>
      <c r="B8068">
        <v>1962</v>
      </c>
      <c r="C8068">
        <v>109.9009900990099</v>
      </c>
    </row>
    <row r="8069" spans="1:3" x14ac:dyDescent="0.35">
      <c r="A8069" t="s">
        <v>162</v>
      </c>
      <c r="B8069">
        <v>1963</v>
      </c>
      <c r="C8069">
        <v>128.71287128712871</v>
      </c>
    </row>
    <row r="8070" spans="1:3" x14ac:dyDescent="0.35">
      <c r="A8070" t="s">
        <v>162</v>
      </c>
      <c r="B8070">
        <v>1964</v>
      </c>
      <c r="C8070">
        <v>155.44554455445547</v>
      </c>
    </row>
    <row r="8071" spans="1:3" x14ac:dyDescent="0.35">
      <c r="A8071" t="s">
        <v>162</v>
      </c>
      <c r="B8071">
        <v>1965</v>
      </c>
      <c r="C8071">
        <v>200.00000000000003</v>
      </c>
    </row>
    <row r="8072" spans="1:3" x14ac:dyDescent="0.35">
      <c r="A8072" t="s">
        <v>162</v>
      </c>
      <c r="B8072">
        <v>1966</v>
      </c>
      <c r="C8072">
        <v>256.1056105610561</v>
      </c>
    </row>
    <row r="8073" spans="1:3" x14ac:dyDescent="0.35">
      <c r="A8073" t="s">
        <v>162</v>
      </c>
      <c r="B8073">
        <v>1967</v>
      </c>
      <c r="C8073">
        <v>331.02310231023102</v>
      </c>
    </row>
    <row r="8074" spans="1:3" x14ac:dyDescent="0.35">
      <c r="A8074" t="s">
        <v>162</v>
      </c>
      <c r="B8074">
        <v>1968</v>
      </c>
      <c r="C8074">
        <v>437.29372937293732</v>
      </c>
    </row>
    <row r="8075" spans="1:3" x14ac:dyDescent="0.35">
      <c r="A8075" t="s">
        <v>162</v>
      </c>
      <c r="B8075">
        <v>1969</v>
      </c>
      <c r="C8075">
        <v>566.00660066006606</v>
      </c>
    </row>
    <row r="8076" spans="1:3" x14ac:dyDescent="0.35">
      <c r="A8076" t="s">
        <v>162</v>
      </c>
      <c r="B8076">
        <v>1970</v>
      </c>
      <c r="C8076">
        <v>620.13201320132021</v>
      </c>
    </row>
    <row r="8077" spans="1:3" x14ac:dyDescent="0.35">
      <c r="A8077" t="s">
        <v>162</v>
      </c>
      <c r="B8077">
        <v>1971</v>
      </c>
      <c r="C8077">
        <v>402.31023102310229</v>
      </c>
    </row>
    <row r="8078" spans="1:3" x14ac:dyDescent="0.35">
      <c r="A8078" t="s">
        <v>162</v>
      </c>
      <c r="B8078">
        <v>1972</v>
      </c>
      <c r="C8078">
        <v>371.94719471947195</v>
      </c>
    </row>
    <row r="8079" spans="1:3" x14ac:dyDescent="0.35">
      <c r="A8079" t="s">
        <v>162</v>
      </c>
      <c r="B8079">
        <v>1973</v>
      </c>
      <c r="C8079">
        <v>480.85716691296233</v>
      </c>
    </row>
    <row r="8080" spans="1:3" x14ac:dyDescent="0.35">
      <c r="A8080" t="s">
        <v>162</v>
      </c>
      <c r="B8080">
        <v>1974</v>
      </c>
      <c r="C8080">
        <v>3877.8626631267116</v>
      </c>
    </row>
    <row r="8081" spans="1:3" x14ac:dyDescent="0.35">
      <c r="A8081" t="s">
        <v>162</v>
      </c>
      <c r="B8081">
        <v>1975</v>
      </c>
      <c r="C8081">
        <v>5951.0437419820164</v>
      </c>
    </row>
    <row r="8082" spans="1:3" x14ac:dyDescent="0.35">
      <c r="A8082" t="s">
        <v>162</v>
      </c>
      <c r="B8082">
        <v>1976</v>
      </c>
      <c r="C8082">
        <v>7186.3072943581528</v>
      </c>
    </row>
    <row r="8083" spans="1:3" x14ac:dyDescent="0.35">
      <c r="A8083" t="s">
        <v>162</v>
      </c>
      <c r="B8083">
        <v>1977</v>
      </c>
      <c r="C8083">
        <v>7617.2079604300161</v>
      </c>
    </row>
    <row r="8084" spans="1:3" x14ac:dyDescent="0.35">
      <c r="A8084" t="s">
        <v>162</v>
      </c>
      <c r="B8084">
        <v>1978</v>
      </c>
      <c r="C8084">
        <v>8113.7398808755461</v>
      </c>
    </row>
    <row r="8085" spans="1:3" x14ac:dyDescent="0.35">
      <c r="A8085" t="s">
        <v>162</v>
      </c>
      <c r="B8085">
        <v>1979</v>
      </c>
      <c r="C8085">
        <v>4993.7799389199936</v>
      </c>
    </row>
    <row r="8086" spans="1:3" x14ac:dyDescent="0.35">
      <c r="A8086" t="s">
        <v>162</v>
      </c>
      <c r="B8086">
        <v>1980</v>
      </c>
      <c r="C8086">
        <v>4874.8894001061753</v>
      </c>
    </row>
    <row r="8087" spans="1:3" x14ac:dyDescent="0.35">
      <c r="A8087" t="s">
        <v>162</v>
      </c>
      <c r="B8087">
        <v>1981</v>
      </c>
      <c r="C8087">
        <v>8121.5676214470141</v>
      </c>
    </row>
    <row r="8088" spans="1:3" x14ac:dyDescent="0.35">
      <c r="A8088" t="s">
        <v>162</v>
      </c>
      <c r="B8088">
        <v>1982</v>
      </c>
      <c r="C8088">
        <v>9703.5253152599453</v>
      </c>
    </row>
    <row r="8089" spans="1:3" x14ac:dyDescent="0.35">
      <c r="A8089" t="s">
        <v>162</v>
      </c>
      <c r="B8089">
        <v>1983</v>
      </c>
      <c r="C8089">
        <v>10550.357292931585</v>
      </c>
    </row>
    <row r="8090" spans="1:3" x14ac:dyDescent="0.35">
      <c r="A8090" t="s">
        <v>162</v>
      </c>
      <c r="B8090">
        <v>1984</v>
      </c>
      <c r="C8090">
        <v>9926.3036219710029</v>
      </c>
    </row>
    <row r="8091" spans="1:3" x14ac:dyDescent="0.35">
      <c r="A8091" t="s">
        <v>162</v>
      </c>
      <c r="B8091">
        <v>1985</v>
      </c>
      <c r="C8091">
        <v>10706.415944506478</v>
      </c>
    </row>
    <row r="8092" spans="1:3" x14ac:dyDescent="0.35">
      <c r="A8092" t="s">
        <v>162</v>
      </c>
      <c r="B8092">
        <v>1986</v>
      </c>
      <c r="C8092">
        <v>11741.433342091335</v>
      </c>
    </row>
    <row r="8093" spans="1:3" x14ac:dyDescent="0.35">
      <c r="A8093" t="s">
        <v>162</v>
      </c>
      <c r="B8093">
        <v>1987</v>
      </c>
      <c r="C8093">
        <v>15263.376569599572</v>
      </c>
    </row>
    <row r="8094" spans="1:3" x14ac:dyDescent="0.35">
      <c r="A8094" t="s">
        <v>162</v>
      </c>
      <c r="B8094">
        <v>1988</v>
      </c>
      <c r="C8094">
        <v>18889.008562658197</v>
      </c>
    </row>
    <row r="8095" spans="1:3" x14ac:dyDescent="0.35">
      <c r="A8095" t="s">
        <v>162</v>
      </c>
      <c r="B8095">
        <v>1989</v>
      </c>
      <c r="C8095">
        <v>16301.812932063633</v>
      </c>
    </row>
    <row r="8096" spans="1:3" x14ac:dyDescent="0.35">
      <c r="A8096" t="s">
        <v>162</v>
      </c>
      <c r="B8096">
        <v>1990</v>
      </c>
      <c r="C8096">
        <v>16474.401698234527</v>
      </c>
    </row>
    <row r="8097" spans="1:3" x14ac:dyDescent="0.35">
      <c r="A8097" t="s">
        <v>162</v>
      </c>
      <c r="B8097">
        <v>1991</v>
      </c>
      <c r="C8097">
        <v>17549.594829935199</v>
      </c>
    </row>
    <row r="8098" spans="1:3" x14ac:dyDescent="0.35">
      <c r="A8098" t="s">
        <v>162</v>
      </c>
      <c r="B8098">
        <v>1992</v>
      </c>
      <c r="C8098">
        <v>19732.55801540571</v>
      </c>
    </row>
    <row r="8099" spans="1:3" x14ac:dyDescent="0.35">
      <c r="A8099" t="s">
        <v>162</v>
      </c>
      <c r="B8099">
        <v>1993</v>
      </c>
      <c r="C8099">
        <v>1448.1777034805784</v>
      </c>
    </row>
    <row r="8100" spans="1:3" x14ac:dyDescent="0.35">
      <c r="A8100" t="s">
        <v>162</v>
      </c>
      <c r="B8100">
        <v>1994</v>
      </c>
      <c r="C8100">
        <v>1703.1715362057039</v>
      </c>
    </row>
    <row r="8101" spans="1:3" x14ac:dyDescent="0.35">
      <c r="A8101" t="s">
        <v>162</v>
      </c>
      <c r="B8101">
        <v>1995</v>
      </c>
      <c r="C8101">
        <v>2501.5441895578469</v>
      </c>
    </row>
    <row r="8102" spans="1:3" x14ac:dyDescent="0.35">
      <c r="A8102" t="s">
        <v>162</v>
      </c>
      <c r="B8102">
        <v>1996</v>
      </c>
      <c r="C8102">
        <v>3550.9869641929276</v>
      </c>
    </row>
    <row r="8103" spans="1:3" x14ac:dyDescent="0.35">
      <c r="A8103" t="s">
        <v>162</v>
      </c>
      <c r="B8103">
        <v>1997</v>
      </c>
      <c r="C8103">
        <v>4642.3846158233009</v>
      </c>
    </row>
    <row r="8104" spans="1:3" x14ac:dyDescent="0.35">
      <c r="A8104" t="s">
        <v>162</v>
      </c>
      <c r="B8104">
        <v>1998</v>
      </c>
      <c r="C8104">
        <v>5479.3629417437496</v>
      </c>
    </row>
    <row r="8105" spans="1:3" x14ac:dyDescent="0.35">
      <c r="A8105" t="s">
        <v>162</v>
      </c>
      <c r="B8105">
        <v>1999</v>
      </c>
      <c r="C8105">
        <v>6650.2851439977185</v>
      </c>
    </row>
    <row r="8106" spans="1:3" x14ac:dyDescent="0.35">
      <c r="A8106" t="s">
        <v>162</v>
      </c>
      <c r="B8106">
        <v>2000</v>
      </c>
      <c r="C8106">
        <v>8327.0538243626052</v>
      </c>
    </row>
    <row r="8107" spans="1:3" x14ac:dyDescent="0.35">
      <c r="A8107" t="s">
        <v>162</v>
      </c>
      <c r="B8107">
        <v>2001</v>
      </c>
      <c r="C8107">
        <v>10378.791765718619</v>
      </c>
    </row>
    <row r="8108" spans="1:3" x14ac:dyDescent="0.35">
      <c r="A8108" t="s">
        <v>162</v>
      </c>
      <c r="B8108">
        <v>2002</v>
      </c>
      <c r="C8108">
        <v>3243.8910332326632</v>
      </c>
    </row>
    <row r="8109" spans="1:3" x14ac:dyDescent="0.35">
      <c r="A8109" t="s">
        <v>162</v>
      </c>
      <c r="B8109">
        <v>2003</v>
      </c>
      <c r="C8109">
        <v>3717.0684497839247</v>
      </c>
    </row>
    <row r="8110" spans="1:3" x14ac:dyDescent="0.35">
      <c r="A8110" t="s">
        <v>162</v>
      </c>
      <c r="B8110">
        <v>2004</v>
      </c>
      <c r="C8110">
        <v>5243.6211325994109</v>
      </c>
    </row>
    <row r="8111" spans="1:3" x14ac:dyDescent="0.35">
      <c r="A8111" t="s">
        <v>162</v>
      </c>
      <c r="B8111">
        <v>2005</v>
      </c>
      <c r="C8111">
        <v>6796.7449653947588</v>
      </c>
    </row>
    <row r="8112" spans="1:3" x14ac:dyDescent="0.35">
      <c r="A8112" t="s">
        <v>162</v>
      </c>
      <c r="B8112">
        <v>2006</v>
      </c>
      <c r="C8112">
        <v>8751.4747670358756</v>
      </c>
    </row>
    <row r="8113" spans="1:3" x14ac:dyDescent="0.35">
      <c r="A8113" t="s">
        <v>162</v>
      </c>
      <c r="B8113">
        <v>2007</v>
      </c>
      <c r="C8113">
        <v>9330.9018817711167</v>
      </c>
    </row>
    <row r="8114" spans="1:3" x14ac:dyDescent="0.35">
      <c r="A8114" t="s">
        <v>162</v>
      </c>
      <c r="B8114">
        <v>2008</v>
      </c>
      <c r="C8114">
        <v>11081.950208569098</v>
      </c>
    </row>
    <row r="8115" spans="1:3" x14ac:dyDescent="0.35">
      <c r="A8115" t="s">
        <v>162</v>
      </c>
      <c r="B8115">
        <v>2009</v>
      </c>
      <c r="C8115">
        <v>12584.623338706246</v>
      </c>
    </row>
    <row r="8116" spans="1:3" x14ac:dyDescent="0.35">
      <c r="A8116" t="s">
        <v>162</v>
      </c>
      <c r="B8116">
        <v>2010</v>
      </c>
      <c r="C8116">
        <v>13561.272454213882</v>
      </c>
    </row>
    <row r="8117" spans="1:3" x14ac:dyDescent="0.35">
      <c r="A8117" t="s">
        <v>162</v>
      </c>
      <c r="B8117">
        <v>2011</v>
      </c>
      <c r="C8117">
        <v>14277.667360568184</v>
      </c>
    </row>
    <row r="8118" spans="1:3" x14ac:dyDescent="0.35">
      <c r="A8118" t="s">
        <v>162</v>
      </c>
      <c r="B8118">
        <v>2012</v>
      </c>
      <c r="C8118">
        <v>16493.963286928669</v>
      </c>
    </row>
    <row r="8119" spans="1:3" x14ac:dyDescent="0.35">
      <c r="A8119" t="s">
        <v>162</v>
      </c>
      <c r="B8119">
        <v>2013</v>
      </c>
      <c r="C8119">
        <v>11997.1869840994</v>
      </c>
    </row>
    <row r="8120" spans="1:3" x14ac:dyDescent="0.35">
      <c r="A8120" t="s">
        <v>162</v>
      </c>
      <c r="B8120">
        <v>2014</v>
      </c>
      <c r="C8120">
        <v>9901.1188553026477</v>
      </c>
    </row>
    <row r="8121" spans="1:3" x14ac:dyDescent="0.35">
      <c r="A8121" t="s">
        <v>162</v>
      </c>
      <c r="B8121">
        <v>2015</v>
      </c>
      <c r="C8121">
        <v>10588.769670868436</v>
      </c>
    </row>
    <row r="8122" spans="1:3" x14ac:dyDescent="0.35">
      <c r="A8122" t="s">
        <v>162</v>
      </c>
      <c r="B8122">
        <v>2016</v>
      </c>
      <c r="C8122">
        <v>12234.378306652772</v>
      </c>
    </row>
    <row r="8123" spans="1:3" x14ac:dyDescent="0.35">
      <c r="A8123" t="s">
        <v>162</v>
      </c>
      <c r="B8123">
        <v>2017</v>
      </c>
      <c r="C8123">
        <v>13931.196489797547</v>
      </c>
    </row>
    <row r="8124" spans="1:3" x14ac:dyDescent="0.35">
      <c r="A8124" t="s">
        <v>162</v>
      </c>
      <c r="B8124">
        <v>2018</v>
      </c>
      <c r="C8124">
        <v>11795.842412294844</v>
      </c>
    </row>
    <row r="8125" spans="1:3" x14ac:dyDescent="0.35">
      <c r="A8125" t="s">
        <v>162</v>
      </c>
      <c r="B8125">
        <v>2019</v>
      </c>
      <c r="C8125">
        <v>4921.0576938275963</v>
      </c>
    </row>
    <row r="8126" spans="1:3" x14ac:dyDescent="0.35">
      <c r="A8126" t="s">
        <v>162</v>
      </c>
      <c r="B8126">
        <v>2020</v>
      </c>
      <c r="C8126">
        <v>3349.7020080458146</v>
      </c>
    </row>
    <row r="8127" spans="1:3" x14ac:dyDescent="0.35">
      <c r="A8127" t="s">
        <v>162</v>
      </c>
      <c r="B8127">
        <v>2021</v>
      </c>
      <c r="C8127">
        <v>5699.5801094992548</v>
      </c>
    </row>
    <row r="8128" spans="1:3" x14ac:dyDescent="0.35">
      <c r="A8128" t="s">
        <v>162</v>
      </c>
      <c r="B8128">
        <v>2022</v>
      </c>
      <c r="C8128">
        <v>7459.3318308459066</v>
      </c>
    </row>
    <row r="8129" spans="1:3" x14ac:dyDescent="0.35">
      <c r="A8129" t="s">
        <v>162</v>
      </c>
      <c r="B8129">
        <v>2023</v>
      </c>
      <c r="C8129">
        <v>7390.8611363778182</v>
      </c>
    </row>
    <row r="8130" spans="1:3" x14ac:dyDescent="0.35">
      <c r="A8130" t="s">
        <v>162</v>
      </c>
      <c r="B8130">
        <v>2024</v>
      </c>
      <c r="C8130">
        <v>7891.9033068181816</v>
      </c>
    </row>
    <row r="8131" spans="1:3" x14ac:dyDescent="0.35">
      <c r="A8131" t="s">
        <v>162</v>
      </c>
      <c r="B8131">
        <v>2025</v>
      </c>
      <c r="C8131">
        <v>7396.0571098113205</v>
      </c>
    </row>
    <row r="8132" spans="1:3" x14ac:dyDescent="0.35">
      <c r="A8132" t="s">
        <v>163</v>
      </c>
      <c r="B8132">
        <v>1957</v>
      </c>
      <c r="C8132">
        <v>83.243966702413317</v>
      </c>
    </row>
    <row r="8133" spans="1:3" x14ac:dyDescent="0.35">
      <c r="A8133" t="s">
        <v>163</v>
      </c>
      <c r="B8133">
        <v>1958</v>
      </c>
      <c r="C8133">
        <v>86.687965324813874</v>
      </c>
    </row>
    <row r="8134" spans="1:3" x14ac:dyDescent="0.35">
      <c r="A8134" t="s">
        <v>163</v>
      </c>
      <c r="B8134">
        <v>1959</v>
      </c>
      <c r="C8134">
        <v>100.16295993481603</v>
      </c>
    </row>
    <row r="8135" spans="1:3" x14ac:dyDescent="0.35">
      <c r="A8135" t="s">
        <v>163</v>
      </c>
      <c r="B8135">
        <v>1960</v>
      </c>
      <c r="C8135">
        <v>118.726952509219</v>
      </c>
    </row>
    <row r="8136" spans="1:3" x14ac:dyDescent="0.35">
      <c r="A8136" t="s">
        <v>163</v>
      </c>
      <c r="B8136">
        <v>1961</v>
      </c>
      <c r="C8136">
        <v>125.48194980722009</v>
      </c>
    </row>
    <row r="8137" spans="1:3" x14ac:dyDescent="0.35">
      <c r="A8137" t="s">
        <v>163</v>
      </c>
      <c r="B8137">
        <v>1962</v>
      </c>
      <c r="C8137">
        <v>135.06494597402161</v>
      </c>
    </row>
    <row r="8138" spans="1:3" x14ac:dyDescent="0.35">
      <c r="A8138" t="s">
        <v>163</v>
      </c>
      <c r="B8138">
        <v>1963</v>
      </c>
      <c r="C8138">
        <v>163.21893471242612</v>
      </c>
    </row>
    <row r="8139" spans="1:3" x14ac:dyDescent="0.35">
      <c r="A8139" t="s">
        <v>163</v>
      </c>
      <c r="B8139">
        <v>1964</v>
      </c>
      <c r="C8139">
        <v>185.19892592042964</v>
      </c>
    </row>
    <row r="8140" spans="1:3" x14ac:dyDescent="0.35">
      <c r="A8140" t="s">
        <v>163</v>
      </c>
      <c r="B8140">
        <v>1965</v>
      </c>
      <c r="C8140">
        <v>225.74290970283613</v>
      </c>
    </row>
    <row r="8141" spans="1:3" x14ac:dyDescent="0.35">
      <c r="A8141" t="s">
        <v>163</v>
      </c>
      <c r="B8141">
        <v>1966</v>
      </c>
      <c r="C8141">
        <v>234.99690600123759</v>
      </c>
    </row>
    <row r="8142" spans="1:3" x14ac:dyDescent="0.35">
      <c r="A8142" t="s">
        <v>163</v>
      </c>
      <c r="B8142">
        <v>1967</v>
      </c>
      <c r="C8142">
        <v>234.54190618323753</v>
      </c>
    </row>
    <row r="8143" spans="1:3" x14ac:dyDescent="0.35">
      <c r="A8143" t="s">
        <v>163</v>
      </c>
      <c r="B8143">
        <v>1968</v>
      </c>
      <c r="C8143">
        <v>291.43788342484663</v>
      </c>
    </row>
    <row r="8144" spans="1:3" x14ac:dyDescent="0.35">
      <c r="A8144" t="s">
        <v>163</v>
      </c>
      <c r="B8144">
        <v>1969</v>
      </c>
      <c r="C8144">
        <v>375.99784960086021</v>
      </c>
    </row>
    <row r="8145" spans="1:3" x14ac:dyDescent="0.35">
      <c r="A8145" t="s">
        <v>163</v>
      </c>
      <c r="B8145">
        <v>1970</v>
      </c>
      <c r="C8145">
        <v>401.05083957966417</v>
      </c>
    </row>
    <row r="8146" spans="1:3" x14ac:dyDescent="0.35">
      <c r="A8146" t="s">
        <v>163</v>
      </c>
      <c r="B8146">
        <v>1971</v>
      </c>
      <c r="C8146">
        <v>426.26334016538266</v>
      </c>
    </row>
    <row r="8147" spans="1:3" x14ac:dyDescent="0.35">
      <c r="A8147" t="s">
        <v>163</v>
      </c>
      <c r="B8147">
        <v>1972</v>
      </c>
      <c r="C8147">
        <v>466.11328807809116</v>
      </c>
    </row>
    <row r="8148" spans="1:3" x14ac:dyDescent="0.35">
      <c r="A8148" t="s">
        <v>163</v>
      </c>
      <c r="B8148">
        <v>1973</v>
      </c>
      <c r="C8148">
        <v>665.18528898542309</v>
      </c>
    </row>
    <row r="8149" spans="1:3" x14ac:dyDescent="0.35">
      <c r="A8149" t="s">
        <v>163</v>
      </c>
      <c r="B8149">
        <v>1974</v>
      </c>
      <c r="C8149">
        <v>1427.4577841810319</v>
      </c>
    </row>
    <row r="8150" spans="1:3" x14ac:dyDescent="0.35">
      <c r="A8150" t="s">
        <v>163</v>
      </c>
      <c r="B8150">
        <v>1975</v>
      </c>
      <c r="C8150">
        <v>1590.171817116696</v>
      </c>
    </row>
    <row r="8151" spans="1:3" x14ac:dyDescent="0.35">
      <c r="A8151" t="s">
        <v>163</v>
      </c>
      <c r="B8151">
        <v>1976</v>
      </c>
      <c r="C8151">
        <v>1761.1762395280955</v>
      </c>
    </row>
    <row r="8152" spans="1:3" x14ac:dyDescent="0.35">
      <c r="A8152" t="s">
        <v>163</v>
      </c>
      <c r="B8152">
        <v>1977</v>
      </c>
      <c r="C8152">
        <v>2007.6935058954195</v>
      </c>
    </row>
    <row r="8153" spans="1:3" x14ac:dyDescent="0.35">
      <c r="A8153" t="s">
        <v>163</v>
      </c>
      <c r="B8153">
        <v>1978</v>
      </c>
      <c r="C8153">
        <v>1986.0216583026879</v>
      </c>
    </row>
    <row r="8154" spans="1:3" x14ac:dyDescent="0.35">
      <c r="A8154" t="s">
        <v>163</v>
      </c>
      <c r="B8154">
        <v>1979</v>
      </c>
      <c r="C8154">
        <v>2371.7128209295865</v>
      </c>
    </row>
    <row r="8155" spans="1:3" x14ac:dyDescent="0.35">
      <c r="A8155" t="s">
        <v>163</v>
      </c>
      <c r="B8155">
        <v>1980</v>
      </c>
      <c r="C8155">
        <v>2976.4928178142586</v>
      </c>
    </row>
    <row r="8156" spans="1:3" x14ac:dyDescent="0.35">
      <c r="A8156" t="s">
        <v>163</v>
      </c>
      <c r="B8156">
        <v>1981</v>
      </c>
      <c r="C8156">
        <v>4086.4977617044906</v>
      </c>
    </row>
    <row r="8157" spans="1:3" x14ac:dyDescent="0.35">
      <c r="A8157" t="s">
        <v>163</v>
      </c>
      <c r="B8157">
        <v>2004</v>
      </c>
      <c r="C8157">
        <v>613.72486961786672</v>
      </c>
    </row>
    <row r="8158" spans="1:3" x14ac:dyDescent="0.35">
      <c r="A8158" t="s">
        <v>163</v>
      </c>
      <c r="B8158">
        <v>2005</v>
      </c>
      <c r="C8158">
        <v>1120.2785326086957</v>
      </c>
    </row>
    <row r="8159" spans="1:3" x14ac:dyDescent="0.35">
      <c r="A8159" t="s">
        <v>163</v>
      </c>
      <c r="B8159">
        <v>2006</v>
      </c>
      <c r="C8159">
        <v>1236.0810129342656</v>
      </c>
    </row>
    <row r="8160" spans="1:3" x14ac:dyDescent="0.35">
      <c r="A8160" t="s">
        <v>163</v>
      </c>
      <c r="B8160">
        <v>2007</v>
      </c>
      <c r="C8160">
        <v>1989.9487473795803</v>
      </c>
    </row>
    <row r="8161" spans="1:3" x14ac:dyDescent="0.35">
      <c r="A8161" t="s">
        <v>163</v>
      </c>
      <c r="B8161">
        <v>2008</v>
      </c>
      <c r="C8161">
        <v>3116.3040198477893</v>
      </c>
    </row>
    <row r="8162" spans="1:3" x14ac:dyDescent="0.35">
      <c r="A8162" t="s">
        <v>163</v>
      </c>
      <c r="B8162">
        <v>2009</v>
      </c>
      <c r="C8162">
        <v>3237.1794871794873</v>
      </c>
    </row>
    <row r="8163" spans="1:3" x14ac:dyDescent="0.35">
      <c r="A8163" t="s">
        <v>163</v>
      </c>
      <c r="B8163">
        <v>2010</v>
      </c>
      <c r="C8163">
        <v>3752.9059829059825</v>
      </c>
    </row>
    <row r="8164" spans="1:3" x14ac:dyDescent="0.35">
      <c r="A8164" t="s">
        <v>163</v>
      </c>
      <c r="B8164">
        <v>2011</v>
      </c>
      <c r="C8164">
        <v>4278.6324786324785</v>
      </c>
    </row>
    <row r="8165" spans="1:3" x14ac:dyDescent="0.35">
      <c r="A8165" t="s">
        <v>163</v>
      </c>
      <c r="B8165">
        <v>2012</v>
      </c>
      <c r="C8165">
        <v>4141.0660538343463</v>
      </c>
    </row>
    <row r="8166" spans="1:3" x14ac:dyDescent="0.35">
      <c r="A8166" t="s">
        <v>163</v>
      </c>
      <c r="B8166">
        <v>2013</v>
      </c>
      <c r="C8166">
        <v>7780.1886792452833</v>
      </c>
    </row>
    <row r="8167" spans="1:3" x14ac:dyDescent="0.35">
      <c r="A8167" t="s">
        <v>163</v>
      </c>
      <c r="B8167">
        <v>2014</v>
      </c>
      <c r="C8167">
        <v>6923.6440823327621</v>
      </c>
    </row>
    <row r="8168" spans="1:3" x14ac:dyDescent="0.35">
      <c r="A8168" t="s">
        <v>163</v>
      </c>
      <c r="B8168">
        <v>2015</v>
      </c>
      <c r="C8168">
        <v>9604.2310108509701</v>
      </c>
    </row>
    <row r="8169" spans="1:3" x14ac:dyDescent="0.35">
      <c r="A8169" t="s">
        <v>163</v>
      </c>
      <c r="B8169">
        <v>2016</v>
      </c>
      <c r="C8169">
        <v>5970.1844331641287</v>
      </c>
    </row>
    <row r="8170" spans="1:3" x14ac:dyDescent="0.35">
      <c r="A8170" t="s">
        <v>163</v>
      </c>
      <c r="B8170">
        <v>2017</v>
      </c>
      <c r="C8170">
        <v>7416.385135135135</v>
      </c>
    </row>
    <row r="8171" spans="1:3" x14ac:dyDescent="0.35">
      <c r="A8171" t="s">
        <v>163</v>
      </c>
      <c r="B8171">
        <v>2018</v>
      </c>
      <c r="C8171">
        <v>6330.1627562883114</v>
      </c>
    </row>
    <row r="8172" spans="1:3" x14ac:dyDescent="0.35">
      <c r="A8172" t="s">
        <v>163</v>
      </c>
      <c r="B8172">
        <v>2019</v>
      </c>
      <c r="C8172">
        <v>7661.8443316412859</v>
      </c>
    </row>
    <row r="8173" spans="1:3" x14ac:dyDescent="0.35">
      <c r="A8173" t="s">
        <v>163</v>
      </c>
      <c r="B8173">
        <v>2020</v>
      </c>
      <c r="C8173">
        <v>5676.4261744966443</v>
      </c>
    </row>
    <row r="8174" spans="1:3" x14ac:dyDescent="0.35">
      <c r="A8174" t="s">
        <v>163</v>
      </c>
      <c r="B8174">
        <v>2021</v>
      </c>
      <c r="C8174">
        <v>4765.3696551724142</v>
      </c>
    </row>
    <row r="8175" spans="1:3" x14ac:dyDescent="0.35">
      <c r="A8175" t="s">
        <v>163</v>
      </c>
      <c r="B8175">
        <v>2022</v>
      </c>
      <c r="C8175">
        <v>4724.2068965517246</v>
      </c>
    </row>
    <row r="8176" spans="1:3" x14ac:dyDescent="0.35">
      <c r="A8176" t="s">
        <v>163</v>
      </c>
      <c r="B8176">
        <v>2023</v>
      </c>
      <c r="C8176">
        <v>5726.5523809523811</v>
      </c>
    </row>
    <row r="8177" spans="1:3" x14ac:dyDescent="0.35">
      <c r="A8177" t="s">
        <v>163</v>
      </c>
      <c r="B8177">
        <v>2024</v>
      </c>
      <c r="C8177">
        <v>6335.8461538461543</v>
      </c>
    </row>
    <row r="8178" spans="1:3" x14ac:dyDescent="0.35">
      <c r="A8178" t="s">
        <v>163</v>
      </c>
      <c r="B8178">
        <v>2025</v>
      </c>
      <c r="C8178">
        <v>6447.9581007932456</v>
      </c>
    </row>
    <row r="8179" spans="1:3" x14ac:dyDescent="0.35">
      <c r="A8179" t="s">
        <v>164</v>
      </c>
      <c r="B8179">
        <v>1951</v>
      </c>
      <c r="C8179">
        <v>139.73393546377764</v>
      </c>
    </row>
    <row r="8180" spans="1:3" x14ac:dyDescent="0.35">
      <c r="A8180" t="s">
        <v>164</v>
      </c>
      <c r="B8180">
        <v>1952</v>
      </c>
      <c r="C8180">
        <v>172.40803977620325</v>
      </c>
    </row>
    <row r="8181" spans="1:3" x14ac:dyDescent="0.35">
      <c r="A8181" t="s">
        <v>164</v>
      </c>
      <c r="B8181">
        <v>1953</v>
      </c>
      <c r="C8181">
        <v>75.581476832024919</v>
      </c>
    </row>
    <row r="8182" spans="1:3" x14ac:dyDescent="0.35">
      <c r="A8182" t="s">
        <v>164</v>
      </c>
      <c r="B8182">
        <v>1954</v>
      </c>
      <c r="C8182">
        <v>57.638888888888886</v>
      </c>
    </row>
    <row r="8183" spans="1:3" x14ac:dyDescent="0.35">
      <c r="A8183" t="s">
        <v>164</v>
      </c>
      <c r="B8183">
        <v>1955</v>
      </c>
      <c r="C8183">
        <v>84.722222222222229</v>
      </c>
    </row>
    <row r="8184" spans="1:3" x14ac:dyDescent="0.35">
      <c r="A8184" t="s">
        <v>164</v>
      </c>
      <c r="B8184">
        <v>1956</v>
      </c>
      <c r="C8184">
        <v>173.88888888888886</v>
      </c>
    </row>
    <row r="8185" spans="1:3" x14ac:dyDescent="0.35">
      <c r="A8185" t="s">
        <v>164</v>
      </c>
      <c r="B8185">
        <v>1957</v>
      </c>
      <c r="C8185">
        <v>163.61111111111111</v>
      </c>
    </row>
    <row r="8186" spans="1:3" x14ac:dyDescent="0.35">
      <c r="A8186" t="s">
        <v>164</v>
      </c>
      <c r="B8186">
        <v>1958</v>
      </c>
      <c r="C8186">
        <v>159.02777777777777</v>
      </c>
    </row>
    <row r="8187" spans="1:3" x14ac:dyDescent="0.35">
      <c r="A8187" t="s">
        <v>164</v>
      </c>
      <c r="B8187">
        <v>1959</v>
      </c>
      <c r="C8187">
        <v>171.25</v>
      </c>
    </row>
    <row r="8188" spans="1:3" x14ac:dyDescent="0.35">
      <c r="A8188" t="s">
        <v>164</v>
      </c>
      <c r="B8188">
        <v>1960</v>
      </c>
      <c r="C8188">
        <v>190.27777777777777</v>
      </c>
    </row>
    <row r="8189" spans="1:3" x14ac:dyDescent="0.35">
      <c r="A8189" t="s">
        <v>164</v>
      </c>
      <c r="B8189">
        <v>1961</v>
      </c>
      <c r="C8189">
        <v>241.80555555555554</v>
      </c>
    </row>
    <row r="8190" spans="1:3" x14ac:dyDescent="0.35">
      <c r="A8190" t="s">
        <v>164</v>
      </c>
      <c r="B8190">
        <v>1962</v>
      </c>
      <c r="C8190">
        <v>210.60417449715345</v>
      </c>
    </row>
    <row r="8191" spans="1:3" x14ac:dyDescent="0.35">
      <c r="A8191" t="s">
        <v>164</v>
      </c>
      <c r="B8191">
        <v>1963</v>
      </c>
      <c r="C8191">
        <v>259.25086416954724</v>
      </c>
    </row>
    <row r="8192" spans="1:3" x14ac:dyDescent="0.35">
      <c r="A8192" t="s">
        <v>164</v>
      </c>
      <c r="B8192">
        <v>1964</v>
      </c>
      <c r="C8192">
        <v>278.5842619475398</v>
      </c>
    </row>
    <row r="8193" spans="1:3" x14ac:dyDescent="0.35">
      <c r="A8193" t="s">
        <v>164</v>
      </c>
      <c r="B8193">
        <v>1965</v>
      </c>
      <c r="C8193">
        <v>313.91771305904354</v>
      </c>
    </row>
    <row r="8194" spans="1:3" x14ac:dyDescent="0.35">
      <c r="A8194" t="s">
        <v>164</v>
      </c>
      <c r="B8194">
        <v>1966</v>
      </c>
      <c r="C8194">
        <v>375.50125167083888</v>
      </c>
    </row>
    <row r="8195" spans="1:3" x14ac:dyDescent="0.35">
      <c r="A8195" t="s">
        <v>164</v>
      </c>
      <c r="B8195">
        <v>1967</v>
      </c>
      <c r="C8195">
        <v>605.51416812342495</v>
      </c>
    </row>
    <row r="8196" spans="1:3" x14ac:dyDescent="0.35">
      <c r="A8196" t="s">
        <v>164</v>
      </c>
      <c r="B8196">
        <v>1968</v>
      </c>
      <c r="C8196">
        <v>690.00197143420405</v>
      </c>
    </row>
    <row r="8197" spans="1:3" x14ac:dyDescent="0.35">
      <c r="A8197" t="s">
        <v>164</v>
      </c>
      <c r="B8197">
        <v>1969</v>
      </c>
      <c r="C8197">
        <v>872.00249143568976</v>
      </c>
    </row>
    <row r="8198" spans="1:3" x14ac:dyDescent="0.35">
      <c r="A8198" t="s">
        <v>164</v>
      </c>
      <c r="B8198">
        <v>1970</v>
      </c>
      <c r="C8198">
        <v>1259.6464561327318</v>
      </c>
    </row>
    <row r="8199" spans="1:3" x14ac:dyDescent="0.35">
      <c r="A8199" t="s">
        <v>164</v>
      </c>
      <c r="B8199">
        <v>1971</v>
      </c>
      <c r="C8199">
        <v>1270.6577872804457</v>
      </c>
    </row>
    <row r="8200" spans="1:3" x14ac:dyDescent="0.35">
      <c r="A8200" t="s">
        <v>164</v>
      </c>
      <c r="B8200">
        <v>1972</v>
      </c>
      <c r="C8200">
        <v>1461.3737499401886</v>
      </c>
    </row>
    <row r="8201" spans="1:3" x14ac:dyDescent="0.35">
      <c r="A8201" t="s">
        <v>164</v>
      </c>
      <c r="B8201">
        <v>1973</v>
      </c>
      <c r="C8201">
        <v>2574.5049097787919</v>
      </c>
    </row>
    <row r="8202" spans="1:3" x14ac:dyDescent="0.35">
      <c r="A8202" t="s">
        <v>164</v>
      </c>
      <c r="B8202">
        <v>1974</v>
      </c>
      <c r="C8202">
        <v>3475.6027702834754</v>
      </c>
    </row>
    <row r="8203" spans="1:3" x14ac:dyDescent="0.35">
      <c r="A8203" t="s">
        <v>164</v>
      </c>
      <c r="B8203">
        <v>1975</v>
      </c>
      <c r="C8203">
        <v>3758.3153807911744</v>
      </c>
    </row>
    <row r="8204" spans="1:3" x14ac:dyDescent="0.35">
      <c r="A8204" t="s">
        <v>164</v>
      </c>
      <c r="B8204">
        <v>1976</v>
      </c>
      <c r="C8204">
        <v>3648.6650171533402</v>
      </c>
    </row>
    <row r="8205" spans="1:3" x14ac:dyDescent="0.35">
      <c r="A8205" t="s">
        <v>164</v>
      </c>
      <c r="B8205">
        <v>1977</v>
      </c>
      <c r="C8205">
        <v>3180.5562203819827</v>
      </c>
    </row>
    <row r="8206" spans="1:3" x14ac:dyDescent="0.35">
      <c r="A8206" t="s">
        <v>164</v>
      </c>
      <c r="B8206">
        <v>1978</v>
      </c>
      <c r="C8206">
        <v>3117.5080583181343</v>
      </c>
    </row>
    <row r="8207" spans="1:3" x14ac:dyDescent="0.35">
      <c r="A8207" t="s">
        <v>164</v>
      </c>
      <c r="B8207">
        <v>1979</v>
      </c>
      <c r="C8207">
        <v>3394.5187039486118</v>
      </c>
    </row>
    <row r="8208" spans="1:3" x14ac:dyDescent="0.35">
      <c r="A8208" t="s">
        <v>164</v>
      </c>
      <c r="B8208">
        <v>1980</v>
      </c>
      <c r="C8208">
        <v>4120.8147860484087</v>
      </c>
    </row>
    <row r="8209" spans="1:3" x14ac:dyDescent="0.35">
      <c r="A8209" t="s">
        <v>164</v>
      </c>
      <c r="B8209">
        <v>1981</v>
      </c>
      <c r="C8209">
        <v>4700.1032316763776</v>
      </c>
    </row>
    <row r="8210" spans="1:3" x14ac:dyDescent="0.35">
      <c r="A8210" t="s">
        <v>164</v>
      </c>
      <c r="B8210">
        <v>1982</v>
      </c>
      <c r="C8210">
        <v>4518.4818889850412</v>
      </c>
    </row>
    <row r="8211" spans="1:3" x14ac:dyDescent="0.35">
      <c r="A8211" t="s">
        <v>164</v>
      </c>
      <c r="B8211">
        <v>1983</v>
      </c>
      <c r="C8211">
        <v>4265.3585818605516</v>
      </c>
    </row>
    <row r="8212" spans="1:3" x14ac:dyDescent="0.35">
      <c r="A8212" t="s">
        <v>164</v>
      </c>
      <c r="B8212">
        <v>1984</v>
      </c>
      <c r="C8212">
        <v>4214.3003308209127</v>
      </c>
    </row>
    <row r="8213" spans="1:3" x14ac:dyDescent="0.35">
      <c r="A8213" t="s">
        <v>164</v>
      </c>
      <c r="B8213">
        <v>1985</v>
      </c>
      <c r="C8213">
        <v>4004.5171141366586</v>
      </c>
    </row>
    <row r="8214" spans="1:3" x14ac:dyDescent="0.35">
      <c r="A8214" t="s">
        <v>164</v>
      </c>
      <c r="B8214">
        <v>1986</v>
      </c>
      <c r="C8214">
        <v>4386.2243251962573</v>
      </c>
    </row>
    <row r="8215" spans="1:3" x14ac:dyDescent="0.35">
      <c r="A8215" t="s">
        <v>164</v>
      </c>
      <c r="B8215">
        <v>1987</v>
      </c>
      <c r="C8215">
        <v>5995.5538554156419</v>
      </c>
    </row>
    <row r="8216" spans="1:3" x14ac:dyDescent="0.35">
      <c r="A8216" t="s">
        <v>164</v>
      </c>
      <c r="B8216">
        <v>1988</v>
      </c>
      <c r="C8216">
        <v>6999.5749853043444</v>
      </c>
    </row>
    <row r="8217" spans="1:3" x14ac:dyDescent="0.35">
      <c r="A8217" t="s">
        <v>164</v>
      </c>
      <c r="B8217">
        <v>1989</v>
      </c>
      <c r="C8217">
        <v>5550.7102604425654</v>
      </c>
    </row>
    <row r="8218" spans="1:3" x14ac:dyDescent="0.35">
      <c r="A8218" t="s">
        <v>164</v>
      </c>
      <c r="B8218">
        <v>1990</v>
      </c>
      <c r="C8218">
        <v>6528.7673312365614</v>
      </c>
    </row>
    <row r="8219" spans="1:3" x14ac:dyDescent="0.35">
      <c r="A8219" t="s">
        <v>164</v>
      </c>
      <c r="B8219">
        <v>1991</v>
      </c>
      <c r="C8219">
        <v>9337.6498946241554</v>
      </c>
    </row>
    <row r="8220" spans="1:3" x14ac:dyDescent="0.35">
      <c r="A8220" t="s">
        <v>164</v>
      </c>
      <c r="B8220">
        <v>1992</v>
      </c>
      <c r="C8220">
        <v>7313.3883897284968</v>
      </c>
    </row>
    <row r="8221" spans="1:3" x14ac:dyDescent="0.35">
      <c r="A8221" t="s">
        <v>164</v>
      </c>
      <c r="B8221">
        <v>1993</v>
      </c>
      <c r="C8221">
        <v>7752.8066999736875</v>
      </c>
    </row>
    <row r="8222" spans="1:3" x14ac:dyDescent="0.35">
      <c r="A8222" t="s">
        <v>164</v>
      </c>
      <c r="B8222">
        <v>1994</v>
      </c>
      <c r="C8222">
        <v>7772.1872675951263</v>
      </c>
    </row>
    <row r="8223" spans="1:3" x14ac:dyDescent="0.35">
      <c r="A8223" t="s">
        <v>164</v>
      </c>
      <c r="B8223">
        <v>1995</v>
      </c>
      <c r="C8223">
        <v>7831.3523355246925</v>
      </c>
    </row>
    <row r="8224" spans="1:3" x14ac:dyDescent="0.35">
      <c r="A8224" t="s">
        <v>164</v>
      </c>
      <c r="B8224">
        <v>1996</v>
      </c>
      <c r="C8224">
        <v>8376.8388567458824</v>
      </c>
    </row>
    <row r="8225" spans="1:3" x14ac:dyDescent="0.35">
      <c r="A8225" t="s">
        <v>164</v>
      </c>
      <c r="B8225">
        <v>1997</v>
      </c>
      <c r="C8225">
        <v>8456.9225396118618</v>
      </c>
    </row>
    <row r="8226" spans="1:3" x14ac:dyDescent="0.35">
      <c r="A8226" t="s">
        <v>164</v>
      </c>
      <c r="B8226">
        <v>1998</v>
      </c>
      <c r="C8226">
        <v>7978.8696154764948</v>
      </c>
    </row>
    <row r="8227" spans="1:3" x14ac:dyDescent="0.35">
      <c r="A8227" t="s">
        <v>164</v>
      </c>
      <c r="B8227">
        <v>1999</v>
      </c>
      <c r="C8227">
        <v>7542.2166252543366</v>
      </c>
    </row>
    <row r="8228" spans="1:3" x14ac:dyDescent="0.35">
      <c r="A8228" t="s">
        <v>164</v>
      </c>
      <c r="B8228">
        <v>2000</v>
      </c>
      <c r="C8228">
        <v>8207.4204594203038</v>
      </c>
    </row>
    <row r="8229" spans="1:3" x14ac:dyDescent="0.35">
      <c r="A8229" t="s">
        <v>164</v>
      </c>
      <c r="B8229">
        <v>2001</v>
      </c>
      <c r="C8229">
        <v>8381.6014171412262</v>
      </c>
    </row>
    <row r="8230" spans="1:3" x14ac:dyDescent="0.35">
      <c r="A8230" t="s">
        <v>164</v>
      </c>
      <c r="B8230">
        <v>2002</v>
      </c>
      <c r="C8230">
        <v>7918.0781245382886</v>
      </c>
    </row>
    <row r="8231" spans="1:3" x14ac:dyDescent="0.35">
      <c r="A8231" t="s">
        <v>164</v>
      </c>
      <c r="B8231">
        <v>2003</v>
      </c>
      <c r="C8231">
        <v>8134.2693115918964</v>
      </c>
    </row>
    <row r="8232" spans="1:3" x14ac:dyDescent="0.35">
      <c r="A8232" t="s">
        <v>164</v>
      </c>
      <c r="B8232">
        <v>2004</v>
      </c>
      <c r="C8232">
        <v>8568.3499480140472</v>
      </c>
    </row>
    <row r="8233" spans="1:3" x14ac:dyDescent="0.35">
      <c r="A8233" t="s">
        <v>164</v>
      </c>
      <c r="B8233">
        <v>2005</v>
      </c>
      <c r="C8233">
        <v>8812.7666956347348</v>
      </c>
    </row>
    <row r="8234" spans="1:3" x14ac:dyDescent="0.35">
      <c r="A8234" t="s">
        <v>164</v>
      </c>
      <c r="B8234">
        <v>2006</v>
      </c>
      <c r="C8234">
        <v>9227.8261640420042</v>
      </c>
    </row>
    <row r="8235" spans="1:3" x14ac:dyDescent="0.35">
      <c r="A8235" t="s">
        <v>164</v>
      </c>
      <c r="B8235">
        <v>2007</v>
      </c>
      <c r="C8235">
        <v>11229.603853868473</v>
      </c>
    </row>
    <row r="8236" spans="1:3" x14ac:dyDescent="0.35">
      <c r="A8236" t="s">
        <v>164</v>
      </c>
      <c r="B8236">
        <v>2008</v>
      </c>
      <c r="C8236">
        <v>13643.372417099123</v>
      </c>
    </row>
    <row r="8237" spans="1:3" x14ac:dyDescent="0.35">
      <c r="A8237" t="s">
        <v>164</v>
      </c>
      <c r="B8237">
        <v>2009</v>
      </c>
      <c r="C8237">
        <v>12608.369825600024</v>
      </c>
    </row>
    <row r="8238" spans="1:3" x14ac:dyDescent="0.35">
      <c r="A8238" t="s">
        <v>164</v>
      </c>
      <c r="B8238">
        <v>2010</v>
      </c>
      <c r="C8238">
        <v>13671.57235816281</v>
      </c>
    </row>
    <row r="8239" spans="1:3" x14ac:dyDescent="0.35">
      <c r="A8239" t="s">
        <v>164</v>
      </c>
      <c r="B8239">
        <v>2011</v>
      </c>
      <c r="C8239">
        <v>14547.215137515966</v>
      </c>
    </row>
    <row r="8240" spans="1:3" x14ac:dyDescent="0.35">
      <c r="A8240" t="s">
        <v>164</v>
      </c>
      <c r="B8240">
        <v>2012</v>
      </c>
      <c r="C8240">
        <v>13982.349581941535</v>
      </c>
    </row>
    <row r="8241" spans="1:3" x14ac:dyDescent="0.35">
      <c r="A8241" t="s">
        <v>164</v>
      </c>
      <c r="B8241">
        <v>2013</v>
      </c>
      <c r="C8241">
        <v>15737.01550366128</v>
      </c>
    </row>
    <row r="8242" spans="1:3" x14ac:dyDescent="0.35">
      <c r="A8242" t="s">
        <v>164</v>
      </c>
      <c r="B8242">
        <v>2014</v>
      </c>
      <c r="C8242">
        <v>17153.824605043425</v>
      </c>
    </row>
    <row r="8243" spans="1:3" x14ac:dyDescent="0.35">
      <c r="A8243" t="s">
        <v>164</v>
      </c>
      <c r="B8243">
        <v>2015</v>
      </c>
      <c r="C8243">
        <v>15975.541957892043</v>
      </c>
    </row>
    <row r="8244" spans="1:3" x14ac:dyDescent="0.35">
      <c r="A8244" t="s">
        <v>164</v>
      </c>
      <c r="B8244">
        <v>2016</v>
      </c>
      <c r="C8244">
        <v>16596.402553045307</v>
      </c>
    </row>
    <row r="8245" spans="1:3" x14ac:dyDescent="0.35">
      <c r="A8245" t="s">
        <v>164</v>
      </c>
      <c r="B8245">
        <v>2017</v>
      </c>
      <c r="C8245">
        <v>18736.105777247696</v>
      </c>
    </row>
    <row r="8246" spans="1:3" x14ac:dyDescent="0.35">
      <c r="A8246" t="s">
        <v>164</v>
      </c>
      <c r="B8246">
        <v>2018</v>
      </c>
      <c r="C8246">
        <v>19262.765541054036</v>
      </c>
    </row>
    <row r="8247" spans="1:3" x14ac:dyDescent="0.35">
      <c r="A8247" t="s">
        <v>164</v>
      </c>
      <c r="B8247">
        <v>2019</v>
      </c>
      <c r="C8247">
        <v>19796.980078563411</v>
      </c>
    </row>
    <row r="8248" spans="1:3" x14ac:dyDescent="0.35">
      <c r="A8248" t="s">
        <v>164</v>
      </c>
      <c r="B8248">
        <v>2020</v>
      </c>
      <c r="C8248">
        <v>21049.888662790698</v>
      </c>
    </row>
    <row r="8249" spans="1:3" x14ac:dyDescent="0.35">
      <c r="A8249" t="s">
        <v>164</v>
      </c>
      <c r="B8249">
        <v>2021</v>
      </c>
      <c r="C8249">
        <v>23596.704277743334</v>
      </c>
    </row>
    <row r="8250" spans="1:3" x14ac:dyDescent="0.35">
      <c r="A8250" t="s">
        <v>164</v>
      </c>
      <c r="B8250">
        <v>2022</v>
      </c>
      <c r="C8250">
        <v>22772.600916336258</v>
      </c>
    </row>
    <row r="8251" spans="1:3" x14ac:dyDescent="0.35">
      <c r="A8251" t="s">
        <v>164</v>
      </c>
      <c r="B8251">
        <v>2023</v>
      </c>
      <c r="C8251">
        <v>27102.928006167709</v>
      </c>
    </row>
    <row r="8252" spans="1:3" x14ac:dyDescent="0.35">
      <c r="A8252" t="s">
        <v>164</v>
      </c>
      <c r="B8252">
        <v>2024</v>
      </c>
      <c r="C8252">
        <v>45921.467209918679</v>
      </c>
    </row>
    <row r="8253" spans="1:3" x14ac:dyDescent="0.35">
      <c r="A8253" t="s">
        <v>164</v>
      </c>
      <c r="B8253">
        <v>2025</v>
      </c>
      <c r="C8253">
        <v>48281.256782261262</v>
      </c>
    </row>
    <row r="8254" spans="1:3" x14ac:dyDescent="0.35">
      <c r="A8254" t="s">
        <v>165</v>
      </c>
      <c r="B8254">
        <v>1957</v>
      </c>
      <c r="C8254">
        <v>45.359981856007252</v>
      </c>
    </row>
    <row r="8255" spans="1:3" x14ac:dyDescent="0.35">
      <c r="A8255" t="s">
        <v>165</v>
      </c>
      <c r="B8255">
        <v>1958</v>
      </c>
      <c r="C8255">
        <v>48.36998065200774</v>
      </c>
    </row>
    <row r="8256" spans="1:3" x14ac:dyDescent="0.35">
      <c r="A8256" t="s">
        <v>165</v>
      </c>
      <c r="B8256">
        <v>1959</v>
      </c>
      <c r="C8256">
        <v>59.009976396009442</v>
      </c>
    </row>
    <row r="8257" spans="1:3" x14ac:dyDescent="0.35">
      <c r="A8257" t="s">
        <v>165</v>
      </c>
      <c r="B8257">
        <v>1960</v>
      </c>
      <c r="C8257">
        <v>56.139977544008985</v>
      </c>
    </row>
    <row r="8258" spans="1:3" x14ac:dyDescent="0.35">
      <c r="A8258" t="s">
        <v>165</v>
      </c>
      <c r="B8258">
        <v>1961</v>
      </c>
      <c r="C8258">
        <v>55.509977796008883</v>
      </c>
    </row>
    <row r="8259" spans="1:3" x14ac:dyDescent="0.35">
      <c r="A8259" t="s">
        <v>165</v>
      </c>
      <c r="B8259">
        <v>1962</v>
      </c>
      <c r="C8259">
        <v>60.409975836009664</v>
      </c>
    </row>
    <row r="8260" spans="1:3" x14ac:dyDescent="0.35">
      <c r="A8260" t="s">
        <v>165</v>
      </c>
      <c r="B8260">
        <v>1963</v>
      </c>
      <c r="C8260">
        <v>61.879975248009906</v>
      </c>
    </row>
    <row r="8261" spans="1:3" x14ac:dyDescent="0.35">
      <c r="A8261" t="s">
        <v>165</v>
      </c>
      <c r="B8261">
        <v>1964</v>
      </c>
      <c r="C8261">
        <v>61.879975248009906</v>
      </c>
    </row>
    <row r="8262" spans="1:3" x14ac:dyDescent="0.35">
      <c r="A8262" t="s">
        <v>165</v>
      </c>
      <c r="B8262">
        <v>1965</v>
      </c>
      <c r="C8262">
        <v>62.929974828010067</v>
      </c>
    </row>
    <row r="8263" spans="1:3" x14ac:dyDescent="0.35">
      <c r="A8263" t="s">
        <v>165</v>
      </c>
      <c r="B8263">
        <v>1966</v>
      </c>
      <c r="C8263">
        <v>76.089969564012165</v>
      </c>
    </row>
    <row r="8264" spans="1:3" x14ac:dyDescent="0.35">
      <c r="A8264" t="s">
        <v>165</v>
      </c>
      <c r="B8264">
        <v>1967</v>
      </c>
      <c r="C8264">
        <v>104.71995811201676</v>
      </c>
    </row>
    <row r="8265" spans="1:3" x14ac:dyDescent="0.35">
      <c r="A8265" t="s">
        <v>165</v>
      </c>
      <c r="B8265">
        <v>1968</v>
      </c>
      <c r="C8265">
        <v>127.74994890002046</v>
      </c>
    </row>
    <row r="8266" spans="1:3" x14ac:dyDescent="0.35">
      <c r="A8266" t="s">
        <v>165</v>
      </c>
      <c r="B8266">
        <v>1969</v>
      </c>
      <c r="C8266">
        <v>125.85994965602013</v>
      </c>
    </row>
    <row r="8267" spans="1:3" x14ac:dyDescent="0.35">
      <c r="A8267" t="s">
        <v>165</v>
      </c>
      <c r="B8267">
        <v>1970</v>
      </c>
      <c r="C8267">
        <v>109.75995609601758</v>
      </c>
    </row>
    <row r="8268" spans="1:3" x14ac:dyDescent="0.35">
      <c r="A8268" t="s">
        <v>165</v>
      </c>
      <c r="B8268">
        <v>1971</v>
      </c>
      <c r="C8268">
        <v>108.63995654401739</v>
      </c>
    </row>
    <row r="8269" spans="1:3" x14ac:dyDescent="0.35">
      <c r="A8269" t="s">
        <v>165</v>
      </c>
      <c r="B8269">
        <v>1972</v>
      </c>
      <c r="C8269">
        <v>129.35994825602069</v>
      </c>
    </row>
    <row r="8270" spans="1:3" x14ac:dyDescent="0.35">
      <c r="A8270" t="s">
        <v>165</v>
      </c>
      <c r="B8270">
        <v>1973</v>
      </c>
      <c r="C8270">
        <v>150.65237041613531</v>
      </c>
    </row>
    <row r="8271" spans="1:3" x14ac:dyDescent="0.35">
      <c r="A8271" t="s">
        <v>165</v>
      </c>
      <c r="B8271">
        <v>1974</v>
      </c>
      <c r="C8271">
        <v>163.30737801621896</v>
      </c>
    </row>
    <row r="8272" spans="1:3" x14ac:dyDescent="0.35">
      <c r="A8272" t="s">
        <v>165</v>
      </c>
      <c r="B8272">
        <v>1975</v>
      </c>
      <c r="C8272">
        <v>180.74248261369891</v>
      </c>
    </row>
    <row r="8273" spans="1:3" x14ac:dyDescent="0.35">
      <c r="A8273" t="s">
        <v>165</v>
      </c>
      <c r="B8273">
        <v>1976</v>
      </c>
      <c r="C8273">
        <v>294.59339785470945</v>
      </c>
    </row>
    <row r="8274" spans="1:3" x14ac:dyDescent="0.35">
      <c r="A8274" t="s">
        <v>165</v>
      </c>
      <c r="B8274">
        <v>1977</v>
      </c>
      <c r="C8274">
        <v>262.70473506303398</v>
      </c>
    </row>
    <row r="8275" spans="1:3" x14ac:dyDescent="0.35">
      <c r="A8275" t="s">
        <v>165</v>
      </c>
      <c r="B8275">
        <v>1978</v>
      </c>
      <c r="C8275">
        <v>304.94887525562376</v>
      </c>
    </row>
    <row r="8276" spans="1:3" x14ac:dyDescent="0.35">
      <c r="A8276" t="s">
        <v>165</v>
      </c>
      <c r="B8276">
        <v>1979</v>
      </c>
      <c r="C8276">
        <v>399.55649229355413</v>
      </c>
    </row>
    <row r="8277" spans="1:3" x14ac:dyDescent="0.35">
      <c r="A8277" t="s">
        <v>165</v>
      </c>
      <c r="B8277">
        <v>1980</v>
      </c>
      <c r="C8277">
        <v>416.21213392632376</v>
      </c>
    </row>
    <row r="8278" spans="1:3" x14ac:dyDescent="0.35">
      <c r="A8278" t="s">
        <v>165</v>
      </c>
      <c r="B8278">
        <v>1981</v>
      </c>
      <c r="C8278">
        <v>438.81815678216157</v>
      </c>
    </row>
    <row r="8279" spans="1:3" x14ac:dyDescent="0.35">
      <c r="A8279" t="s">
        <v>165</v>
      </c>
      <c r="B8279">
        <v>1982</v>
      </c>
      <c r="C8279">
        <v>465.2587860150017</v>
      </c>
    </row>
    <row r="8280" spans="1:3" x14ac:dyDescent="0.35">
      <c r="A8280" t="s">
        <v>165</v>
      </c>
      <c r="B8280">
        <v>1983</v>
      </c>
      <c r="C8280">
        <v>484.74298981764298</v>
      </c>
    </row>
    <row r="8281" spans="1:3" x14ac:dyDescent="0.35">
      <c r="A8281" t="s">
        <v>165</v>
      </c>
      <c r="B8281">
        <v>1984</v>
      </c>
      <c r="C8281">
        <v>457.77899158571</v>
      </c>
    </row>
    <row r="8282" spans="1:3" x14ac:dyDescent="0.35">
      <c r="A8282" t="s">
        <v>165</v>
      </c>
      <c r="B8282">
        <v>1985</v>
      </c>
      <c r="C8282">
        <v>501.74216027874564</v>
      </c>
    </row>
    <row r="8283" spans="1:3" x14ac:dyDescent="0.35">
      <c r="A8283" t="s">
        <v>165</v>
      </c>
      <c r="B8283">
        <v>1986</v>
      </c>
      <c r="C8283">
        <v>625.77507529302852</v>
      </c>
    </row>
    <row r="8284" spans="1:3" x14ac:dyDescent="0.35">
      <c r="A8284" t="s">
        <v>165</v>
      </c>
      <c r="B8284">
        <v>1987</v>
      </c>
      <c r="C8284">
        <v>647.05030742276028</v>
      </c>
    </row>
    <row r="8285" spans="1:3" x14ac:dyDescent="0.35">
      <c r="A8285" t="s">
        <v>165</v>
      </c>
      <c r="B8285">
        <v>1988</v>
      </c>
      <c r="C8285">
        <v>587.77638848813228</v>
      </c>
    </row>
    <row r="8286" spans="1:3" x14ac:dyDescent="0.35">
      <c r="A8286" t="s">
        <v>165</v>
      </c>
      <c r="B8286">
        <v>1989</v>
      </c>
      <c r="C8286">
        <v>382.89103617276044</v>
      </c>
    </row>
    <row r="8287" spans="1:3" x14ac:dyDescent="0.35">
      <c r="A8287" t="s">
        <v>165</v>
      </c>
      <c r="B8287">
        <v>1990</v>
      </c>
      <c r="C8287">
        <v>322.42900535171884</v>
      </c>
    </row>
    <row r="8288" spans="1:3" x14ac:dyDescent="0.35">
      <c r="A8288" t="s">
        <v>165</v>
      </c>
      <c r="B8288">
        <v>1991</v>
      </c>
      <c r="C8288">
        <v>433.27174510109188</v>
      </c>
    </row>
    <row r="8289" spans="1:3" x14ac:dyDescent="0.35">
      <c r="A8289" t="s">
        <v>165</v>
      </c>
      <c r="B8289">
        <v>1992</v>
      </c>
      <c r="C8289">
        <v>367.74548482093735</v>
      </c>
    </row>
    <row r="8290" spans="1:3" x14ac:dyDescent="0.35">
      <c r="A8290" t="s">
        <v>165</v>
      </c>
      <c r="B8290">
        <v>1993</v>
      </c>
      <c r="C8290">
        <v>391.13748843546449</v>
      </c>
    </row>
    <row r="8291" spans="1:3" x14ac:dyDescent="0.35">
      <c r="A8291" t="s">
        <v>165</v>
      </c>
      <c r="B8291">
        <v>1994</v>
      </c>
      <c r="C8291">
        <v>407.86302671574379</v>
      </c>
    </row>
    <row r="8292" spans="1:3" x14ac:dyDescent="0.35">
      <c r="A8292" t="s">
        <v>165</v>
      </c>
      <c r="B8292">
        <v>1995</v>
      </c>
      <c r="C8292">
        <v>299.8385155423436</v>
      </c>
    </row>
    <row r="8293" spans="1:3" x14ac:dyDescent="0.35">
      <c r="A8293" t="s">
        <v>165</v>
      </c>
      <c r="B8293">
        <v>1996</v>
      </c>
      <c r="C8293">
        <v>417.48942172073345</v>
      </c>
    </row>
    <row r="8294" spans="1:3" x14ac:dyDescent="0.35">
      <c r="A8294" t="s">
        <v>165</v>
      </c>
      <c r="B8294">
        <v>1997</v>
      </c>
      <c r="C8294">
        <v>444.2877291960508</v>
      </c>
    </row>
    <row r="8295" spans="1:3" x14ac:dyDescent="0.35">
      <c r="A8295" t="s">
        <v>165</v>
      </c>
      <c r="B8295">
        <v>1998</v>
      </c>
      <c r="C8295">
        <v>496.47390691114248</v>
      </c>
    </row>
    <row r="8296" spans="1:3" x14ac:dyDescent="0.35">
      <c r="A8296" t="s">
        <v>165</v>
      </c>
      <c r="B8296">
        <v>1999</v>
      </c>
      <c r="C8296">
        <v>511.98871650211566</v>
      </c>
    </row>
    <row r="8297" spans="1:3" x14ac:dyDescent="0.35">
      <c r="A8297" t="s">
        <v>165</v>
      </c>
      <c r="B8297">
        <v>2000</v>
      </c>
      <c r="C8297">
        <v>529.33709449929484</v>
      </c>
    </row>
    <row r="8298" spans="1:3" x14ac:dyDescent="0.35">
      <c r="A8298" t="s">
        <v>165</v>
      </c>
      <c r="B8298">
        <v>2001</v>
      </c>
      <c r="C8298">
        <v>528.92664563184167</v>
      </c>
    </row>
    <row r="8299" spans="1:3" x14ac:dyDescent="0.35">
      <c r="A8299" t="s">
        <v>165</v>
      </c>
      <c r="B8299">
        <v>2002</v>
      </c>
      <c r="C8299">
        <v>521.86177715091685</v>
      </c>
    </row>
    <row r="8300" spans="1:3" x14ac:dyDescent="0.35">
      <c r="A8300" t="s">
        <v>165</v>
      </c>
      <c r="B8300">
        <v>2003</v>
      </c>
      <c r="C8300">
        <v>611.84767277856133</v>
      </c>
    </row>
    <row r="8301" spans="1:3" x14ac:dyDescent="0.35">
      <c r="A8301" t="s">
        <v>165</v>
      </c>
      <c r="B8301">
        <v>2004</v>
      </c>
      <c r="C8301">
        <v>586.74188998589568</v>
      </c>
    </row>
    <row r="8302" spans="1:3" x14ac:dyDescent="0.35">
      <c r="A8302" t="s">
        <v>165</v>
      </c>
      <c r="B8302">
        <v>2005</v>
      </c>
      <c r="C8302">
        <v>603.66713681241185</v>
      </c>
    </row>
    <row r="8303" spans="1:3" x14ac:dyDescent="0.35">
      <c r="A8303" t="s">
        <v>165</v>
      </c>
      <c r="B8303">
        <v>2006</v>
      </c>
      <c r="C8303">
        <v>701.55148095909738</v>
      </c>
    </row>
    <row r="8304" spans="1:3" x14ac:dyDescent="0.35">
      <c r="A8304" t="s">
        <v>165</v>
      </c>
      <c r="B8304">
        <v>2007</v>
      </c>
      <c r="C8304">
        <v>1032.4400564174896</v>
      </c>
    </row>
    <row r="8305" spans="1:3" x14ac:dyDescent="0.35">
      <c r="A8305" t="s">
        <v>165</v>
      </c>
      <c r="B8305">
        <v>2008</v>
      </c>
      <c r="C8305">
        <v>1358.3835799043777</v>
      </c>
    </row>
    <row r="8306" spans="1:3" x14ac:dyDescent="0.35">
      <c r="A8306" t="s">
        <v>165</v>
      </c>
      <c r="B8306">
        <v>2009</v>
      </c>
      <c r="C8306">
        <v>1568.3098591549297</v>
      </c>
    </row>
    <row r="8307" spans="1:3" x14ac:dyDescent="0.35">
      <c r="A8307" t="s">
        <v>165</v>
      </c>
      <c r="B8307">
        <v>2010</v>
      </c>
      <c r="C8307">
        <v>1557.8873239436621</v>
      </c>
    </row>
    <row r="8308" spans="1:3" x14ac:dyDescent="0.35">
      <c r="A8308" t="s">
        <v>165</v>
      </c>
      <c r="B8308">
        <v>2011</v>
      </c>
      <c r="C8308">
        <v>1594.7887323943662</v>
      </c>
    </row>
    <row r="8309" spans="1:3" x14ac:dyDescent="0.35">
      <c r="A8309" t="s">
        <v>165</v>
      </c>
      <c r="B8309">
        <v>2012</v>
      </c>
      <c r="C8309">
        <v>1472.8169014084508</v>
      </c>
    </row>
    <row r="8310" spans="1:3" x14ac:dyDescent="0.35">
      <c r="A8310" t="s">
        <v>165</v>
      </c>
      <c r="B8310">
        <v>2013</v>
      </c>
      <c r="C8310">
        <v>1444.929577464789</v>
      </c>
    </row>
    <row r="8311" spans="1:3" x14ac:dyDescent="0.35">
      <c r="A8311" t="s">
        <v>165</v>
      </c>
      <c r="B8311">
        <v>2014</v>
      </c>
      <c r="C8311">
        <v>1548.8732394366198</v>
      </c>
    </row>
    <row r="8312" spans="1:3" x14ac:dyDescent="0.35">
      <c r="A8312" t="s">
        <v>165</v>
      </c>
      <c r="B8312">
        <v>2015</v>
      </c>
      <c r="C8312">
        <v>1614.929577464789</v>
      </c>
    </row>
    <row r="8313" spans="1:3" x14ac:dyDescent="0.35">
      <c r="A8313" t="s">
        <v>165</v>
      </c>
      <c r="B8313">
        <v>2016</v>
      </c>
      <c r="C8313">
        <v>1769.4366197183099</v>
      </c>
    </row>
    <row r="8314" spans="1:3" x14ac:dyDescent="0.35">
      <c r="A8314" t="s">
        <v>165</v>
      </c>
      <c r="B8314">
        <v>2017</v>
      </c>
      <c r="C8314">
        <v>1939.7183098591549</v>
      </c>
    </row>
    <row r="8315" spans="1:3" x14ac:dyDescent="0.35">
      <c r="A8315" t="s">
        <v>165</v>
      </c>
      <c r="B8315">
        <v>2018</v>
      </c>
      <c r="C8315">
        <v>1957.7464788732395</v>
      </c>
    </row>
    <row r="8316" spans="1:3" x14ac:dyDescent="0.35">
      <c r="A8316" t="s">
        <v>165</v>
      </c>
      <c r="B8316">
        <v>2019</v>
      </c>
      <c r="C8316">
        <v>2032.1126760563382</v>
      </c>
    </row>
    <row r="8317" spans="1:3" x14ac:dyDescent="0.35">
      <c r="A8317" t="s">
        <v>165</v>
      </c>
      <c r="B8317">
        <v>2020</v>
      </c>
      <c r="C8317">
        <v>2055.9154929577467</v>
      </c>
    </row>
    <row r="8318" spans="1:3" x14ac:dyDescent="0.35">
      <c r="A8318" t="s">
        <v>165</v>
      </c>
      <c r="B8318">
        <v>2021</v>
      </c>
      <c r="C8318">
        <v>2176.7605633802818</v>
      </c>
    </row>
    <row r="8319" spans="1:3" x14ac:dyDescent="0.35">
      <c r="A8319" t="s">
        <v>165</v>
      </c>
      <c r="B8319">
        <v>2022</v>
      </c>
      <c r="C8319">
        <v>2334.5732394366196</v>
      </c>
    </row>
    <row r="8320" spans="1:3" x14ac:dyDescent="0.35">
      <c r="A8320" t="s">
        <v>165</v>
      </c>
      <c r="B8320">
        <v>2023</v>
      </c>
      <c r="C8320">
        <v>2462.0704225352115</v>
      </c>
    </row>
    <row r="8321" spans="1:3" x14ac:dyDescent="0.35">
      <c r="A8321" t="s">
        <v>165</v>
      </c>
      <c r="B8321">
        <v>2024</v>
      </c>
      <c r="C8321">
        <v>2533.2394366197186</v>
      </c>
    </row>
    <row r="8322" spans="1:3" x14ac:dyDescent="0.35">
      <c r="A8322" t="s">
        <v>165</v>
      </c>
      <c r="B8322">
        <v>2025</v>
      </c>
      <c r="C8322">
        <v>2555.3521126760565</v>
      </c>
    </row>
    <row r="8323" spans="1:3" x14ac:dyDescent="0.35">
      <c r="A8323" t="s">
        <v>166</v>
      </c>
      <c r="B8323">
        <v>1970</v>
      </c>
      <c r="C8323">
        <v>68.739972504011007</v>
      </c>
    </row>
    <row r="8324" spans="1:3" x14ac:dyDescent="0.35">
      <c r="A8324" t="s">
        <v>166</v>
      </c>
      <c r="B8324">
        <v>1971</v>
      </c>
      <c r="C8324">
        <v>73.434840970744006</v>
      </c>
    </row>
    <row r="8325" spans="1:3" x14ac:dyDescent="0.35">
      <c r="A8325" t="s">
        <v>166</v>
      </c>
      <c r="B8325">
        <v>1972</v>
      </c>
      <c r="C8325">
        <v>90.743549911992446</v>
      </c>
    </row>
    <row r="8326" spans="1:3" x14ac:dyDescent="0.35">
      <c r="A8326" t="s">
        <v>166</v>
      </c>
      <c r="B8326">
        <v>1973</v>
      </c>
      <c r="C8326">
        <v>136.56043051940171</v>
      </c>
    </row>
    <row r="8327" spans="1:3" x14ac:dyDescent="0.35">
      <c r="A8327" t="s">
        <v>166</v>
      </c>
      <c r="B8327">
        <v>1974</v>
      </c>
      <c r="C8327">
        <v>384.61407261104347</v>
      </c>
    </row>
    <row r="8328" spans="1:3" x14ac:dyDescent="0.35">
      <c r="A8328" t="s">
        <v>166</v>
      </c>
      <c r="B8328">
        <v>1977</v>
      </c>
      <c r="C8328">
        <v>748.51866585708012</v>
      </c>
    </row>
    <row r="8329" spans="1:3" x14ac:dyDescent="0.35">
      <c r="A8329" t="s">
        <v>166</v>
      </c>
      <c r="B8329">
        <v>1978</v>
      </c>
      <c r="C8329">
        <v>738.0395778268188</v>
      </c>
    </row>
    <row r="8330" spans="1:3" x14ac:dyDescent="0.35">
      <c r="A8330" t="s">
        <v>166</v>
      </c>
      <c r="B8330">
        <v>1979</v>
      </c>
      <c r="C8330">
        <v>881.07799078034202</v>
      </c>
    </row>
    <row r="8331" spans="1:3" x14ac:dyDescent="0.35">
      <c r="A8331" t="s">
        <v>166</v>
      </c>
      <c r="B8331">
        <v>1980</v>
      </c>
      <c r="C8331">
        <v>950.80596529003276</v>
      </c>
    </row>
    <row r="8332" spans="1:3" x14ac:dyDescent="0.35">
      <c r="A8332" t="s">
        <v>166</v>
      </c>
      <c r="B8332">
        <v>1981</v>
      </c>
      <c r="C8332">
        <v>1042.0216295711748</v>
      </c>
    </row>
    <row r="8333" spans="1:3" x14ac:dyDescent="0.35">
      <c r="A8333" t="s">
        <v>166</v>
      </c>
      <c r="B8333">
        <v>1982</v>
      </c>
      <c r="C8333">
        <v>1285.1193598021612</v>
      </c>
    </row>
    <row r="8334" spans="1:3" x14ac:dyDescent="0.35">
      <c r="A8334" t="s">
        <v>166</v>
      </c>
      <c r="B8334">
        <v>1983</v>
      </c>
      <c r="C8334">
        <v>1425.4984098230736</v>
      </c>
    </row>
    <row r="8335" spans="1:3" x14ac:dyDescent="0.35">
      <c r="A8335" t="s">
        <v>166</v>
      </c>
      <c r="B8335">
        <v>1984</v>
      </c>
      <c r="C8335">
        <v>1465.9091676743385</v>
      </c>
    </row>
    <row r="8336" spans="1:3" x14ac:dyDescent="0.35">
      <c r="A8336" t="s">
        <v>166</v>
      </c>
      <c r="B8336">
        <v>1985</v>
      </c>
      <c r="C8336">
        <v>1379.8698599847714</v>
      </c>
    </row>
    <row r="8337" spans="1:3" x14ac:dyDescent="0.35">
      <c r="A8337" t="s">
        <v>166</v>
      </c>
      <c r="B8337">
        <v>1986</v>
      </c>
      <c r="C8337">
        <v>1295.6176121406081</v>
      </c>
    </row>
    <row r="8338" spans="1:3" x14ac:dyDescent="0.35">
      <c r="A8338" t="s">
        <v>166</v>
      </c>
      <c r="B8338">
        <v>1987</v>
      </c>
      <c r="C8338">
        <v>1336.7400767234976</v>
      </c>
    </row>
    <row r="8339" spans="1:3" x14ac:dyDescent="0.35">
      <c r="A8339" t="s">
        <v>166</v>
      </c>
      <c r="B8339">
        <v>1988</v>
      </c>
      <c r="C8339">
        <v>1704.123944106168</v>
      </c>
    </row>
    <row r="8340" spans="1:3" x14ac:dyDescent="0.35">
      <c r="A8340" t="s">
        <v>166</v>
      </c>
      <c r="B8340">
        <v>1989</v>
      </c>
      <c r="C8340">
        <v>2076.3907563168232</v>
      </c>
    </row>
    <row r="8341" spans="1:3" x14ac:dyDescent="0.35">
      <c r="A8341" t="s">
        <v>166</v>
      </c>
      <c r="B8341">
        <v>1990</v>
      </c>
      <c r="C8341">
        <v>8961.5364614931259</v>
      </c>
    </row>
    <row r="8342" spans="1:3" x14ac:dyDescent="0.35">
      <c r="A8342" t="s">
        <v>166</v>
      </c>
      <c r="B8342">
        <v>1991</v>
      </c>
      <c r="C8342">
        <v>12924.377965940712</v>
      </c>
    </row>
    <row r="8343" spans="1:3" x14ac:dyDescent="0.35">
      <c r="A8343" t="s">
        <v>166</v>
      </c>
      <c r="B8343">
        <v>1992</v>
      </c>
      <c r="C8343">
        <v>6316.0120454398184</v>
      </c>
    </row>
    <row r="8344" spans="1:3" x14ac:dyDescent="0.35">
      <c r="A8344" t="s">
        <v>166</v>
      </c>
      <c r="B8344">
        <v>1993</v>
      </c>
      <c r="C8344">
        <v>2980.0655316244752</v>
      </c>
    </row>
    <row r="8345" spans="1:3" x14ac:dyDescent="0.35">
      <c r="A8345" t="s">
        <v>166</v>
      </c>
      <c r="B8345">
        <v>1994</v>
      </c>
      <c r="C8345">
        <v>3296.0555125138944</v>
      </c>
    </row>
    <row r="8346" spans="1:3" x14ac:dyDescent="0.35">
      <c r="A8346" t="s">
        <v>166</v>
      </c>
      <c r="B8346">
        <v>1995</v>
      </c>
      <c r="C8346">
        <v>3692.4355331582051</v>
      </c>
    </row>
    <row r="8347" spans="1:3" x14ac:dyDescent="0.35">
      <c r="A8347" t="s">
        <v>166</v>
      </c>
      <c r="B8347">
        <v>1996</v>
      </c>
      <c r="C8347">
        <v>3241.3855294931018</v>
      </c>
    </row>
    <row r="8348" spans="1:3" x14ac:dyDescent="0.35">
      <c r="A8348" t="s">
        <v>166</v>
      </c>
      <c r="B8348">
        <v>1997</v>
      </c>
      <c r="C8348">
        <v>2454.2688454552349</v>
      </c>
    </row>
    <row r="8349" spans="1:3" x14ac:dyDescent="0.35">
      <c r="A8349" t="s">
        <v>166</v>
      </c>
      <c r="B8349">
        <v>1998</v>
      </c>
      <c r="C8349">
        <v>2282.1535917258398</v>
      </c>
    </row>
    <row r="8350" spans="1:3" x14ac:dyDescent="0.35">
      <c r="A8350" t="s">
        <v>166</v>
      </c>
      <c r="B8350">
        <v>1999</v>
      </c>
      <c r="C8350">
        <v>2286.3525121955226</v>
      </c>
    </row>
    <row r="8351" spans="1:3" x14ac:dyDescent="0.35">
      <c r="A8351" t="s">
        <v>166</v>
      </c>
      <c r="B8351">
        <v>2000</v>
      </c>
      <c r="C8351">
        <v>2697.0755963557963</v>
      </c>
    </row>
    <row r="8352" spans="1:3" x14ac:dyDescent="0.35">
      <c r="A8352" t="s">
        <v>166</v>
      </c>
      <c r="B8352">
        <v>2001</v>
      </c>
      <c r="C8352">
        <v>2685.7352784534683</v>
      </c>
    </row>
    <row r="8353" spans="1:3" x14ac:dyDescent="0.35">
      <c r="A8353" t="s">
        <v>166</v>
      </c>
      <c r="B8353">
        <v>2002</v>
      </c>
      <c r="C8353">
        <v>2821.5218778996687</v>
      </c>
    </row>
    <row r="8354" spans="1:3" x14ac:dyDescent="0.35">
      <c r="A8354" t="s">
        <v>166</v>
      </c>
      <c r="B8354">
        <v>2003</v>
      </c>
      <c r="C8354">
        <v>3130.7464128961246</v>
      </c>
    </row>
    <row r="8355" spans="1:3" x14ac:dyDescent="0.35">
      <c r="A8355" t="s">
        <v>166</v>
      </c>
      <c r="B8355">
        <v>2004</v>
      </c>
      <c r="C8355">
        <v>3450.1187648456053</v>
      </c>
    </row>
    <row r="8356" spans="1:3" x14ac:dyDescent="0.35">
      <c r="A8356" t="s">
        <v>166</v>
      </c>
      <c r="B8356">
        <v>2005</v>
      </c>
      <c r="C8356">
        <v>3509.4178082191784</v>
      </c>
    </row>
    <row r="8357" spans="1:3" x14ac:dyDescent="0.35">
      <c r="A8357" t="s">
        <v>166</v>
      </c>
      <c r="B8357">
        <v>2006</v>
      </c>
      <c r="C8357">
        <v>3597.8164975738864</v>
      </c>
    </row>
    <row r="8358" spans="1:3" x14ac:dyDescent="0.35">
      <c r="A8358" t="s">
        <v>166</v>
      </c>
      <c r="B8358">
        <v>2007</v>
      </c>
      <c r="C8358">
        <v>4115.7367335880708</v>
      </c>
    </row>
    <row r="8359" spans="1:3" x14ac:dyDescent="0.35">
      <c r="A8359" t="s">
        <v>166</v>
      </c>
      <c r="B8359">
        <v>2008</v>
      </c>
      <c r="C8359">
        <v>4430.3420774621691</v>
      </c>
    </row>
    <row r="8360" spans="1:3" x14ac:dyDescent="0.35">
      <c r="A8360" t="s">
        <v>166</v>
      </c>
      <c r="B8360">
        <v>2009</v>
      </c>
      <c r="C8360">
        <v>4208.8712059349864</v>
      </c>
    </row>
    <row r="8361" spans="1:3" x14ac:dyDescent="0.35">
      <c r="A8361" t="s">
        <v>166</v>
      </c>
      <c r="B8361">
        <v>2010</v>
      </c>
      <c r="C8361">
        <v>4335.2046530615089</v>
      </c>
    </row>
    <row r="8362" spans="1:3" x14ac:dyDescent="0.35">
      <c r="A8362" t="s">
        <v>166</v>
      </c>
      <c r="B8362">
        <v>2011</v>
      </c>
      <c r="C8362">
        <v>5393.5263190315209</v>
      </c>
    </row>
    <row r="8363" spans="1:3" x14ac:dyDescent="0.35">
      <c r="A8363" t="s">
        <v>166</v>
      </c>
      <c r="B8363">
        <v>2012</v>
      </c>
      <c r="C8363">
        <v>5941.5366369455869</v>
      </c>
    </row>
    <row r="8364" spans="1:3" x14ac:dyDescent="0.35">
      <c r="A8364" t="s">
        <v>166</v>
      </c>
      <c r="B8364">
        <v>2013</v>
      </c>
      <c r="C8364">
        <v>5697.9378022800674</v>
      </c>
    </row>
    <row r="8365" spans="1:3" x14ac:dyDescent="0.35">
      <c r="A8365" t="s">
        <v>166</v>
      </c>
      <c r="B8365">
        <v>2014</v>
      </c>
      <c r="C8365">
        <v>5832.1034195298353</v>
      </c>
    </row>
    <row r="8366" spans="1:3" x14ac:dyDescent="0.35">
      <c r="A8366" t="s">
        <v>166</v>
      </c>
      <c r="B8366">
        <v>2015</v>
      </c>
      <c r="C8366">
        <v>5735.1328903654494</v>
      </c>
    </row>
    <row r="8367" spans="1:3" x14ac:dyDescent="0.35">
      <c r="A8367" t="s">
        <v>166</v>
      </c>
      <c r="B8367">
        <v>2016</v>
      </c>
      <c r="C8367">
        <v>6446.7421313623709</v>
      </c>
    </row>
    <row r="8368" spans="1:3" x14ac:dyDescent="0.35">
      <c r="A8368" t="s">
        <v>166</v>
      </c>
      <c r="B8368">
        <v>2017</v>
      </c>
      <c r="C8368">
        <v>6764.6369138780528</v>
      </c>
    </row>
    <row r="8369" spans="1:3" x14ac:dyDescent="0.35">
      <c r="A8369" t="s">
        <v>166</v>
      </c>
      <c r="B8369">
        <v>2018</v>
      </c>
      <c r="C8369">
        <v>7165.2790595364495</v>
      </c>
    </row>
    <row r="8370" spans="1:3" x14ac:dyDescent="0.35">
      <c r="A8370" t="s">
        <v>166</v>
      </c>
      <c r="B8370">
        <v>2019</v>
      </c>
      <c r="C8370">
        <v>7373.5197368421059</v>
      </c>
    </row>
    <row r="8371" spans="1:3" x14ac:dyDescent="0.35">
      <c r="A8371" t="s">
        <v>166</v>
      </c>
      <c r="B8371">
        <v>2020</v>
      </c>
      <c r="C8371">
        <v>6941.0423452768728</v>
      </c>
    </row>
    <row r="8372" spans="1:3" x14ac:dyDescent="0.35">
      <c r="A8372" t="s">
        <v>166</v>
      </c>
      <c r="B8372">
        <v>2021</v>
      </c>
      <c r="C8372">
        <v>9024.3355481727576</v>
      </c>
    </row>
    <row r="8373" spans="1:3" x14ac:dyDescent="0.35">
      <c r="A8373" t="s">
        <v>166</v>
      </c>
      <c r="B8373">
        <v>2022</v>
      </c>
      <c r="C8373">
        <v>8244.1214012659839</v>
      </c>
    </row>
    <row r="8374" spans="1:3" x14ac:dyDescent="0.35">
      <c r="A8374" t="s">
        <v>166</v>
      </c>
      <c r="B8374">
        <v>2023</v>
      </c>
      <c r="C8374">
        <v>7755.0319356276659</v>
      </c>
    </row>
    <row r="8375" spans="1:3" x14ac:dyDescent="0.35">
      <c r="A8375" t="s">
        <v>166</v>
      </c>
      <c r="B8375">
        <v>2024</v>
      </c>
      <c r="C8375">
        <v>7798.6262735467217</v>
      </c>
    </row>
    <row r="8376" spans="1:3" x14ac:dyDescent="0.35">
      <c r="A8376" t="s">
        <v>166</v>
      </c>
      <c r="B8376">
        <v>2025</v>
      </c>
      <c r="C8376">
        <v>8088.2849470075216</v>
      </c>
    </row>
    <row r="8377" spans="1:3" x14ac:dyDescent="0.35">
      <c r="A8377" t="s">
        <v>167</v>
      </c>
      <c r="B8377">
        <v>1955</v>
      </c>
      <c r="C8377">
        <v>12.523076923076925</v>
      </c>
    </row>
    <row r="8378" spans="1:3" x14ac:dyDescent="0.35">
      <c r="A8378" t="s">
        <v>167</v>
      </c>
      <c r="B8378">
        <v>1956</v>
      </c>
      <c r="C8378">
        <v>18.0625</v>
      </c>
    </row>
    <row r="8379" spans="1:3" x14ac:dyDescent="0.35">
      <c r="A8379" t="s">
        <v>167</v>
      </c>
      <c r="B8379">
        <v>1957</v>
      </c>
      <c r="C8379">
        <v>18.654782879054824</v>
      </c>
    </row>
    <row r="8380" spans="1:3" x14ac:dyDescent="0.35">
      <c r="A8380" t="s">
        <v>167</v>
      </c>
      <c r="B8380">
        <v>1958</v>
      </c>
      <c r="C8380">
        <v>21.76965630330503</v>
      </c>
    </row>
    <row r="8381" spans="1:3" x14ac:dyDescent="0.35">
      <c r="A8381" t="s">
        <v>167</v>
      </c>
      <c r="B8381">
        <v>1959</v>
      </c>
      <c r="C8381">
        <v>20.729001584786058</v>
      </c>
    </row>
    <row r="8382" spans="1:3" x14ac:dyDescent="0.35">
      <c r="A8382" t="s">
        <v>167</v>
      </c>
      <c r="B8382">
        <v>1960</v>
      </c>
      <c r="C8382">
        <v>22.906905201381985</v>
      </c>
    </row>
    <row r="8383" spans="1:3" x14ac:dyDescent="0.35">
      <c r="A8383" t="s">
        <v>167</v>
      </c>
      <c r="B8383">
        <v>1961</v>
      </c>
      <c r="C8383">
        <v>27.83714781298114</v>
      </c>
    </row>
    <row r="8384" spans="1:3" x14ac:dyDescent="0.35">
      <c r="A8384" t="s">
        <v>167</v>
      </c>
      <c r="B8384">
        <v>1962</v>
      </c>
      <c r="C8384">
        <v>40.876824502166798</v>
      </c>
    </row>
    <row r="8385" spans="1:3" x14ac:dyDescent="0.35">
      <c r="A8385" t="s">
        <v>167</v>
      </c>
      <c r="B8385">
        <v>1963</v>
      </c>
      <c r="C8385">
        <v>33.900603430741064</v>
      </c>
    </row>
    <row r="8386" spans="1:3" x14ac:dyDescent="0.35">
      <c r="A8386" t="s">
        <v>167</v>
      </c>
      <c r="B8386">
        <v>1964</v>
      </c>
      <c r="C8386">
        <v>38.065368323106654</v>
      </c>
    </row>
    <row r="8387" spans="1:3" x14ac:dyDescent="0.35">
      <c r="A8387" t="s">
        <v>167</v>
      </c>
      <c r="B8387">
        <v>1965</v>
      </c>
      <c r="C8387">
        <v>44.598531829353647</v>
      </c>
    </row>
    <row r="8388" spans="1:3" x14ac:dyDescent="0.35">
      <c r="A8388" t="s">
        <v>167</v>
      </c>
      <c r="B8388">
        <v>1966</v>
      </c>
      <c r="C8388">
        <v>51.425377305757408</v>
      </c>
    </row>
    <row r="8389" spans="1:3" x14ac:dyDescent="0.35">
      <c r="A8389" t="s">
        <v>167</v>
      </c>
      <c r="B8389">
        <v>1967</v>
      </c>
      <c r="C8389">
        <v>57.730955026025732</v>
      </c>
    </row>
    <row r="8390" spans="1:3" x14ac:dyDescent="0.35">
      <c r="A8390" t="s">
        <v>167</v>
      </c>
      <c r="B8390">
        <v>1968</v>
      </c>
      <c r="C8390">
        <v>65.572316445030125</v>
      </c>
    </row>
    <row r="8391" spans="1:3" x14ac:dyDescent="0.35">
      <c r="A8391" t="s">
        <v>167</v>
      </c>
      <c r="B8391">
        <v>1969</v>
      </c>
      <c r="C8391">
        <v>65.13897338519871</v>
      </c>
    </row>
    <row r="8392" spans="1:3" x14ac:dyDescent="0.35">
      <c r="A8392" t="s">
        <v>167</v>
      </c>
      <c r="B8392">
        <v>1970</v>
      </c>
      <c r="C8392">
        <v>64.546127538253529</v>
      </c>
    </row>
    <row r="8393" spans="1:3" x14ac:dyDescent="0.35">
      <c r="A8393" t="s">
        <v>167</v>
      </c>
      <c r="B8393">
        <v>1971</v>
      </c>
      <c r="C8393">
        <v>66.920095547025312</v>
      </c>
    </row>
    <row r="8394" spans="1:3" x14ac:dyDescent="0.35">
      <c r="A8394" t="s">
        <v>167</v>
      </c>
      <c r="B8394">
        <v>1972</v>
      </c>
      <c r="C8394">
        <v>106.20443698536739</v>
      </c>
    </row>
    <row r="8395" spans="1:3" x14ac:dyDescent="0.35">
      <c r="A8395" t="s">
        <v>167</v>
      </c>
      <c r="B8395">
        <v>1973</v>
      </c>
      <c r="C8395">
        <v>103.8155072019614</v>
      </c>
    </row>
    <row r="8396" spans="1:3" x14ac:dyDescent="0.35">
      <c r="A8396" t="s">
        <v>167</v>
      </c>
      <c r="B8396">
        <v>1974</v>
      </c>
      <c r="C8396">
        <v>179.14217960614496</v>
      </c>
    </row>
    <row r="8397" spans="1:3" x14ac:dyDescent="0.35">
      <c r="A8397" t="s">
        <v>167</v>
      </c>
      <c r="B8397">
        <v>1975</v>
      </c>
      <c r="C8397">
        <v>165.9441002962667</v>
      </c>
    </row>
    <row r="8398" spans="1:3" x14ac:dyDescent="0.35">
      <c r="A8398" t="s">
        <v>167</v>
      </c>
      <c r="B8398">
        <v>1976</v>
      </c>
      <c r="C8398">
        <v>173.07484703596268</v>
      </c>
    </row>
    <row r="8399" spans="1:3" x14ac:dyDescent="0.35">
      <c r="A8399" t="s">
        <v>167</v>
      </c>
      <c r="B8399">
        <v>1977</v>
      </c>
      <c r="C8399">
        <v>126.4271935769772</v>
      </c>
    </row>
    <row r="8400" spans="1:3" x14ac:dyDescent="0.35">
      <c r="A8400" t="s">
        <v>167</v>
      </c>
      <c r="B8400">
        <v>1978</v>
      </c>
      <c r="C8400">
        <v>252.76022968359294</v>
      </c>
    </row>
    <row r="8401" spans="1:3" x14ac:dyDescent="0.35">
      <c r="A8401" t="s">
        <v>167</v>
      </c>
      <c r="B8401">
        <v>1979</v>
      </c>
      <c r="C8401">
        <v>346.31100146480605</v>
      </c>
    </row>
    <row r="8402" spans="1:3" x14ac:dyDescent="0.35">
      <c r="A8402" t="s">
        <v>167</v>
      </c>
      <c r="B8402">
        <v>1980</v>
      </c>
      <c r="C8402">
        <v>503.47631478619712</v>
      </c>
    </row>
    <row r="8403" spans="1:3" x14ac:dyDescent="0.35">
      <c r="A8403" t="s">
        <v>167</v>
      </c>
      <c r="B8403">
        <v>1981</v>
      </c>
      <c r="C8403">
        <v>373.21477003247668</v>
      </c>
    </row>
    <row r="8404" spans="1:3" x14ac:dyDescent="0.35">
      <c r="A8404" t="s">
        <v>167</v>
      </c>
      <c r="B8404">
        <v>1982</v>
      </c>
      <c r="C8404">
        <v>246.65175512751054</v>
      </c>
    </row>
    <row r="8405" spans="1:3" x14ac:dyDescent="0.35">
      <c r="A8405" t="s">
        <v>167</v>
      </c>
      <c r="B8405">
        <v>1983</v>
      </c>
      <c r="C8405">
        <v>492.47267660003928</v>
      </c>
    </row>
    <row r="8406" spans="1:3" x14ac:dyDescent="0.35">
      <c r="A8406" t="s">
        <v>167</v>
      </c>
      <c r="B8406">
        <v>1984</v>
      </c>
      <c r="C8406">
        <v>474.57491756372588</v>
      </c>
    </row>
    <row r="8407" spans="1:3" x14ac:dyDescent="0.35">
      <c r="A8407" t="s">
        <v>167</v>
      </c>
      <c r="B8407">
        <v>1985</v>
      </c>
      <c r="C8407">
        <v>227.20350855820186</v>
      </c>
    </row>
    <row r="8408" spans="1:3" x14ac:dyDescent="0.35">
      <c r="A8408" t="s">
        <v>167</v>
      </c>
      <c r="B8408">
        <v>1986</v>
      </c>
      <c r="C8408">
        <v>148.29332367298326</v>
      </c>
    </row>
    <row r="8409" spans="1:3" x14ac:dyDescent="0.35">
      <c r="A8409" t="s">
        <v>167</v>
      </c>
      <c r="B8409">
        <v>1987</v>
      </c>
      <c r="C8409">
        <v>36.999768473169603</v>
      </c>
    </row>
    <row r="8410" spans="1:3" x14ac:dyDescent="0.35">
      <c r="A8410" t="s">
        <v>167</v>
      </c>
      <c r="B8410">
        <v>1988</v>
      </c>
      <c r="C8410">
        <v>39.317743078464432</v>
      </c>
    </row>
    <row r="8411" spans="1:3" x14ac:dyDescent="0.35">
      <c r="A8411" t="s">
        <v>167</v>
      </c>
      <c r="B8411">
        <v>1990</v>
      </c>
      <c r="C8411">
        <v>214.36103865835884</v>
      </c>
    </row>
    <row r="8412" spans="1:3" x14ac:dyDescent="0.35">
      <c r="A8412" t="s">
        <v>167</v>
      </c>
      <c r="B8412">
        <v>1991</v>
      </c>
      <c r="C8412">
        <v>229.46973100329984</v>
      </c>
    </row>
    <row r="8413" spans="1:3" x14ac:dyDescent="0.35">
      <c r="A8413" t="s">
        <v>167</v>
      </c>
      <c r="B8413">
        <v>1992</v>
      </c>
      <c r="C8413">
        <v>442.78633107386196</v>
      </c>
    </row>
    <row r="8414" spans="1:3" x14ac:dyDescent="0.35">
      <c r="A8414" t="s">
        <v>167</v>
      </c>
      <c r="B8414">
        <v>1993</v>
      </c>
      <c r="C8414">
        <v>452.97928056231916</v>
      </c>
    </row>
    <row r="8415" spans="1:3" x14ac:dyDescent="0.35">
      <c r="A8415" t="s">
        <v>167</v>
      </c>
      <c r="B8415">
        <v>1994</v>
      </c>
      <c r="C8415">
        <v>637.4734386067247</v>
      </c>
    </row>
    <row r="8416" spans="1:3" x14ac:dyDescent="0.35">
      <c r="A8416" t="s">
        <v>167</v>
      </c>
      <c r="B8416">
        <v>1995</v>
      </c>
      <c r="C8416">
        <v>746.26405412573001</v>
      </c>
    </row>
    <row r="8417" spans="1:3" x14ac:dyDescent="0.35">
      <c r="A8417" t="s">
        <v>167</v>
      </c>
      <c r="B8417">
        <v>1996</v>
      </c>
      <c r="C8417">
        <v>735.63101359262839</v>
      </c>
    </row>
    <row r="8418" spans="1:3" x14ac:dyDescent="0.35">
      <c r="A8418" t="s">
        <v>167</v>
      </c>
      <c r="B8418">
        <v>1997</v>
      </c>
      <c r="C8418">
        <v>678.16427945045302</v>
      </c>
    </row>
    <row r="8419" spans="1:3" x14ac:dyDescent="0.35">
      <c r="A8419" t="s">
        <v>167</v>
      </c>
      <c r="B8419">
        <v>1998</v>
      </c>
      <c r="C8419">
        <v>693.87189752857603</v>
      </c>
    </row>
    <row r="8420" spans="1:3" x14ac:dyDescent="0.35">
      <c r="A8420" t="s">
        <v>167</v>
      </c>
      <c r="B8420">
        <v>1999</v>
      </c>
      <c r="C8420">
        <v>829.66362478777603</v>
      </c>
    </row>
    <row r="8421" spans="1:3" x14ac:dyDescent="0.35">
      <c r="A8421" t="s">
        <v>167</v>
      </c>
      <c r="B8421">
        <v>2000</v>
      </c>
      <c r="C8421">
        <v>930.01658374792703</v>
      </c>
    </row>
    <row r="8422" spans="1:3" x14ac:dyDescent="0.35">
      <c r="A8422" t="s">
        <v>167</v>
      </c>
      <c r="B8422">
        <v>2001</v>
      </c>
      <c r="C8422">
        <v>958.54063018242118</v>
      </c>
    </row>
    <row r="8423" spans="1:3" x14ac:dyDescent="0.35">
      <c r="A8423" t="s">
        <v>167</v>
      </c>
      <c r="B8423">
        <v>2002</v>
      </c>
      <c r="C8423">
        <v>907.46268656716416</v>
      </c>
    </row>
    <row r="8424" spans="1:3" x14ac:dyDescent="0.35">
      <c r="A8424" t="s">
        <v>167</v>
      </c>
      <c r="B8424">
        <v>2003</v>
      </c>
      <c r="C8424">
        <v>923.38308457711446</v>
      </c>
    </row>
    <row r="8425" spans="1:3" x14ac:dyDescent="0.35">
      <c r="A8425" t="s">
        <v>167</v>
      </c>
      <c r="B8425">
        <v>2004</v>
      </c>
      <c r="C8425">
        <v>954.56053067993366</v>
      </c>
    </row>
    <row r="8426" spans="1:3" x14ac:dyDescent="0.35">
      <c r="A8426" t="s">
        <v>167</v>
      </c>
      <c r="B8426">
        <v>2005</v>
      </c>
      <c r="C8426">
        <v>962.5207296849087</v>
      </c>
    </row>
    <row r="8427" spans="1:3" x14ac:dyDescent="0.35">
      <c r="A8427" t="s">
        <v>167</v>
      </c>
      <c r="B8427">
        <v>2006</v>
      </c>
      <c r="C8427">
        <v>1008.955223880597</v>
      </c>
    </row>
    <row r="8428" spans="1:3" x14ac:dyDescent="0.35">
      <c r="A8428" t="s">
        <v>167</v>
      </c>
      <c r="B8428">
        <v>2007</v>
      </c>
      <c r="C8428">
        <v>1152.2388059701493</v>
      </c>
    </row>
    <row r="8429" spans="1:3" x14ac:dyDescent="0.35">
      <c r="A8429" t="s">
        <v>167</v>
      </c>
      <c r="B8429">
        <v>2008</v>
      </c>
      <c r="C8429">
        <v>1169.485903814262</v>
      </c>
    </row>
    <row r="8430" spans="1:3" x14ac:dyDescent="0.35">
      <c r="A8430" t="s">
        <v>167</v>
      </c>
      <c r="B8430">
        <v>2009</v>
      </c>
      <c r="C8430">
        <v>1426.2023217247097</v>
      </c>
    </row>
    <row r="8431" spans="1:3" x14ac:dyDescent="0.35">
      <c r="A8431" t="s">
        <v>167</v>
      </c>
      <c r="B8431">
        <v>2010</v>
      </c>
      <c r="C8431">
        <v>1585.4063018242123</v>
      </c>
    </row>
    <row r="8432" spans="1:3" x14ac:dyDescent="0.35">
      <c r="A8432" t="s">
        <v>167</v>
      </c>
      <c r="B8432">
        <v>2011</v>
      </c>
      <c r="C8432">
        <v>1626.5339966832505</v>
      </c>
    </row>
    <row r="8433" spans="1:3" x14ac:dyDescent="0.35">
      <c r="A8433" t="s">
        <v>167</v>
      </c>
      <c r="B8433">
        <v>2012</v>
      </c>
      <c r="C8433">
        <v>1757.2139303482588</v>
      </c>
    </row>
    <row r="8434" spans="1:3" x14ac:dyDescent="0.35">
      <c r="A8434" t="s">
        <v>167</v>
      </c>
      <c r="B8434">
        <v>2013</v>
      </c>
      <c r="C8434">
        <v>1935.7182413723235</v>
      </c>
    </row>
    <row r="8435" spans="1:3" x14ac:dyDescent="0.35">
      <c r="A8435" t="s">
        <v>167</v>
      </c>
      <c r="B8435">
        <v>2014</v>
      </c>
      <c r="C8435">
        <v>2270.0659597937911</v>
      </c>
    </row>
    <row r="8436" spans="1:3" x14ac:dyDescent="0.35">
      <c r="A8436" t="s">
        <v>167</v>
      </c>
      <c r="B8436">
        <v>2015</v>
      </c>
      <c r="C8436">
        <v>2239.4160937394472</v>
      </c>
    </row>
    <row r="8437" spans="1:3" x14ac:dyDescent="0.35">
      <c r="A8437" t="s">
        <v>167</v>
      </c>
      <c r="B8437">
        <v>2016</v>
      </c>
      <c r="C8437">
        <v>2606.4569083222532</v>
      </c>
    </row>
    <row r="8438" spans="1:3" x14ac:dyDescent="0.35">
      <c r="A8438" t="s">
        <v>167</v>
      </c>
      <c r="B8438">
        <v>2017</v>
      </c>
      <c r="C8438">
        <v>2441.0748570182218</v>
      </c>
    </row>
    <row r="8439" spans="1:3" x14ac:dyDescent="0.35">
      <c r="A8439" t="s">
        <v>167</v>
      </c>
      <c r="B8439">
        <v>2018</v>
      </c>
      <c r="C8439">
        <v>2775.557816206579</v>
      </c>
    </row>
    <row r="8440" spans="1:3" x14ac:dyDescent="0.35">
      <c r="A8440" t="s">
        <v>167</v>
      </c>
      <c r="B8440">
        <v>2019</v>
      </c>
      <c r="C8440">
        <v>2326.058336524859</v>
      </c>
    </row>
    <row r="8441" spans="1:3" x14ac:dyDescent="0.35">
      <c r="A8441" t="s">
        <v>167</v>
      </c>
      <c r="B8441">
        <v>2020</v>
      </c>
      <c r="C8441">
        <v>431.9910514541387</v>
      </c>
    </row>
    <row r="8442" spans="1:3" x14ac:dyDescent="0.35">
      <c r="A8442" t="s">
        <v>167</v>
      </c>
      <c r="B8442">
        <v>2021</v>
      </c>
      <c r="C8442">
        <v>171.58739595719382</v>
      </c>
    </row>
    <row r="8443" spans="1:3" x14ac:dyDescent="0.35">
      <c r="A8443" t="s">
        <v>167</v>
      </c>
      <c r="B8443">
        <v>2022</v>
      </c>
      <c r="C8443">
        <v>218.74773199617326</v>
      </c>
    </row>
    <row r="8444" spans="1:3" x14ac:dyDescent="0.35">
      <c r="A8444" t="s">
        <v>167</v>
      </c>
      <c r="B8444">
        <v>2023</v>
      </c>
      <c r="C8444">
        <v>286.21731780181096</v>
      </c>
    </row>
    <row r="8445" spans="1:3" x14ac:dyDescent="0.35">
      <c r="A8445" t="s">
        <v>167</v>
      </c>
      <c r="B8445">
        <v>2024</v>
      </c>
      <c r="C8445">
        <v>635.4715719063546</v>
      </c>
    </row>
    <row r="8446" spans="1:3" x14ac:dyDescent="0.35">
      <c r="A8446" t="s">
        <v>167</v>
      </c>
      <c r="B8446">
        <v>2025</v>
      </c>
      <c r="C8446">
        <v>828.29910415561687</v>
      </c>
    </row>
    <row r="8447" spans="1:3" x14ac:dyDescent="0.35">
      <c r="A8447" t="s">
        <v>168</v>
      </c>
      <c r="B8447">
        <v>1971</v>
      </c>
      <c r="C8447">
        <v>29.065079300127334</v>
      </c>
    </row>
    <row r="8448" spans="1:3" x14ac:dyDescent="0.35">
      <c r="A8448" t="s">
        <v>168</v>
      </c>
      <c r="B8448">
        <v>1972</v>
      </c>
      <c r="C8448">
        <v>54.524419383333367</v>
      </c>
    </row>
    <row r="8449" spans="1:3" x14ac:dyDescent="0.35">
      <c r="A8449" t="s">
        <v>168</v>
      </c>
      <c r="B8449">
        <v>1973</v>
      </c>
      <c r="C8449">
        <v>89.826506518837903</v>
      </c>
    </row>
    <row r="8450" spans="1:3" x14ac:dyDescent="0.35">
      <c r="A8450" t="s">
        <v>168</v>
      </c>
      <c r="B8450">
        <v>1974</v>
      </c>
      <c r="C8450">
        <v>255.57324840764332</v>
      </c>
    </row>
    <row r="8451" spans="1:3" x14ac:dyDescent="0.35">
      <c r="A8451" t="s">
        <v>168</v>
      </c>
      <c r="B8451">
        <v>1975</v>
      </c>
      <c r="C8451">
        <v>523.30631152287208</v>
      </c>
    </row>
    <row r="8452" spans="1:3" x14ac:dyDescent="0.35">
      <c r="A8452" t="s">
        <v>168</v>
      </c>
      <c r="B8452">
        <v>1976</v>
      </c>
      <c r="C8452">
        <v>589.09959467284318</v>
      </c>
    </row>
    <row r="8453" spans="1:3" x14ac:dyDescent="0.35">
      <c r="A8453" t="s">
        <v>168</v>
      </c>
      <c r="B8453">
        <v>1977</v>
      </c>
      <c r="C8453">
        <v>514.83786913723225</v>
      </c>
    </row>
    <row r="8454" spans="1:3" x14ac:dyDescent="0.35">
      <c r="A8454" t="s">
        <v>168</v>
      </c>
      <c r="B8454">
        <v>1978</v>
      </c>
      <c r="C8454">
        <v>574.33410538506075</v>
      </c>
    </row>
    <row r="8455" spans="1:3" x14ac:dyDescent="0.35">
      <c r="A8455" t="s">
        <v>168</v>
      </c>
      <c r="B8455">
        <v>1979</v>
      </c>
      <c r="C8455">
        <v>584.10538506079911</v>
      </c>
    </row>
    <row r="8456" spans="1:3" x14ac:dyDescent="0.35">
      <c r="A8456" t="s">
        <v>168</v>
      </c>
      <c r="B8456">
        <v>1980</v>
      </c>
      <c r="C8456">
        <v>883.75796178343955</v>
      </c>
    </row>
    <row r="8457" spans="1:3" x14ac:dyDescent="0.35">
      <c r="A8457" t="s">
        <v>168</v>
      </c>
      <c r="B8457">
        <v>1981</v>
      </c>
      <c r="C8457">
        <v>1133.4684423856399</v>
      </c>
    </row>
    <row r="8458" spans="1:3" x14ac:dyDescent="0.35">
      <c r="A8458" t="s">
        <v>168</v>
      </c>
      <c r="B8458">
        <v>1982</v>
      </c>
      <c r="C8458">
        <v>1261.5807759119862</v>
      </c>
    </row>
    <row r="8459" spans="1:3" x14ac:dyDescent="0.35">
      <c r="A8459" t="s">
        <v>168</v>
      </c>
      <c r="B8459">
        <v>1983</v>
      </c>
      <c r="C8459">
        <v>1457.0063694267517</v>
      </c>
    </row>
    <row r="8460" spans="1:3" x14ac:dyDescent="0.35">
      <c r="A8460" t="s">
        <v>168</v>
      </c>
      <c r="B8460">
        <v>1984</v>
      </c>
      <c r="C8460">
        <v>1580.7896420640595</v>
      </c>
    </row>
    <row r="8461" spans="1:3" x14ac:dyDescent="0.35">
      <c r="A8461" t="s">
        <v>168</v>
      </c>
      <c r="B8461">
        <v>1985</v>
      </c>
      <c r="C8461">
        <v>1617.7130531710072</v>
      </c>
    </row>
    <row r="8462" spans="1:3" x14ac:dyDescent="0.35">
      <c r="A8462" t="s">
        <v>168</v>
      </c>
      <c r="B8462">
        <v>1986</v>
      </c>
      <c r="C8462">
        <v>1305.6897969014246</v>
      </c>
    </row>
    <row r="8463" spans="1:3" x14ac:dyDescent="0.35">
      <c r="A8463" t="s">
        <v>168</v>
      </c>
      <c r="B8463">
        <v>1987</v>
      </c>
      <c r="C8463">
        <v>1139.1417425227569</v>
      </c>
    </row>
    <row r="8464" spans="1:3" x14ac:dyDescent="0.35">
      <c r="A8464" t="s">
        <v>168</v>
      </c>
      <c r="B8464">
        <v>1988</v>
      </c>
      <c r="C8464">
        <v>1148.89466840052</v>
      </c>
    </row>
    <row r="8465" spans="1:3" x14ac:dyDescent="0.35">
      <c r="A8465" t="s">
        <v>168</v>
      </c>
      <c r="B8465">
        <v>1989</v>
      </c>
      <c r="C8465">
        <v>1171.5214564369312</v>
      </c>
    </row>
    <row r="8466" spans="1:3" x14ac:dyDescent="0.35">
      <c r="A8466" t="s">
        <v>168</v>
      </c>
      <c r="B8466">
        <v>1990</v>
      </c>
      <c r="C8466">
        <v>1447.9193758127435</v>
      </c>
    </row>
    <row r="8467" spans="1:3" x14ac:dyDescent="0.35">
      <c r="A8467" t="s">
        <v>168</v>
      </c>
      <c r="B8467">
        <v>1991</v>
      </c>
      <c r="C8467">
        <v>1254.8114434330296</v>
      </c>
    </row>
    <row r="8468" spans="1:3" x14ac:dyDescent="0.35">
      <c r="A8468" t="s">
        <v>168</v>
      </c>
      <c r="B8468">
        <v>1992</v>
      </c>
      <c r="C8468">
        <v>1517.1651495448632</v>
      </c>
    </row>
    <row r="8469" spans="1:3" x14ac:dyDescent="0.35">
      <c r="A8469" t="s">
        <v>168</v>
      </c>
      <c r="B8469">
        <v>1993</v>
      </c>
      <c r="C8469">
        <v>1439.9219765929781</v>
      </c>
    </row>
    <row r="8470" spans="1:3" x14ac:dyDescent="0.35">
      <c r="A8470" t="s">
        <v>168</v>
      </c>
      <c r="B8470">
        <v>1994</v>
      </c>
      <c r="C8470">
        <v>1520.091027308192</v>
      </c>
    </row>
    <row r="8471" spans="1:3" x14ac:dyDescent="0.35">
      <c r="A8471" t="s">
        <v>168</v>
      </c>
      <c r="B8471">
        <v>1995</v>
      </c>
      <c r="C8471">
        <v>1513.8491547464239</v>
      </c>
    </row>
    <row r="8472" spans="1:3" x14ac:dyDescent="0.35">
      <c r="A8472" t="s">
        <v>168</v>
      </c>
      <c r="B8472">
        <v>1996</v>
      </c>
      <c r="C8472">
        <v>1437.1911573472037</v>
      </c>
    </row>
    <row r="8473" spans="1:3" x14ac:dyDescent="0.35">
      <c r="A8473" t="s">
        <v>168</v>
      </c>
      <c r="B8473">
        <v>1997</v>
      </c>
      <c r="C8473">
        <v>1482.0546163849151</v>
      </c>
    </row>
    <row r="8474" spans="1:3" x14ac:dyDescent="0.35">
      <c r="A8474" t="s">
        <v>168</v>
      </c>
      <c r="B8474">
        <v>1998</v>
      </c>
      <c r="C8474">
        <v>1318.2054616384914</v>
      </c>
    </row>
    <row r="8475" spans="1:3" x14ac:dyDescent="0.35">
      <c r="A8475" t="s">
        <v>168</v>
      </c>
      <c r="B8475">
        <v>1999</v>
      </c>
      <c r="C8475">
        <v>1340.4421326397924</v>
      </c>
    </row>
    <row r="8476" spans="1:3" x14ac:dyDescent="0.35">
      <c r="A8476" t="s">
        <v>168</v>
      </c>
      <c r="B8476">
        <v>2000</v>
      </c>
      <c r="C8476">
        <v>1577.2431729518855</v>
      </c>
    </row>
    <row r="8477" spans="1:3" x14ac:dyDescent="0.35">
      <c r="A8477" t="s">
        <v>168</v>
      </c>
      <c r="B8477">
        <v>2001</v>
      </c>
      <c r="C8477">
        <v>1819.8959687906372</v>
      </c>
    </row>
    <row r="8478" spans="1:3" x14ac:dyDescent="0.35">
      <c r="A8478" t="s">
        <v>168</v>
      </c>
      <c r="B8478">
        <v>2002</v>
      </c>
      <c r="C8478">
        <v>1868.4655396618987</v>
      </c>
    </row>
    <row r="8479" spans="1:3" x14ac:dyDescent="0.35">
      <c r="A8479" t="s">
        <v>168</v>
      </c>
      <c r="B8479">
        <v>2003</v>
      </c>
      <c r="C8479">
        <v>1969.3107932379712</v>
      </c>
    </row>
    <row r="8480" spans="1:3" x14ac:dyDescent="0.35">
      <c r="A8480" t="s">
        <v>168</v>
      </c>
      <c r="B8480">
        <v>2004</v>
      </c>
      <c r="C8480">
        <v>2230.6892067620283</v>
      </c>
    </row>
    <row r="8481" spans="1:3" x14ac:dyDescent="0.35">
      <c r="A8481" t="s">
        <v>168</v>
      </c>
      <c r="B8481">
        <v>2005</v>
      </c>
      <c r="C8481">
        <v>2739.0117035110534</v>
      </c>
    </row>
    <row r="8482" spans="1:3" x14ac:dyDescent="0.35">
      <c r="A8482" t="s">
        <v>168</v>
      </c>
      <c r="B8482">
        <v>2006</v>
      </c>
      <c r="C8482">
        <v>3022.6267880364103</v>
      </c>
    </row>
    <row r="8483" spans="1:3" x14ac:dyDescent="0.35">
      <c r="A8483" t="s">
        <v>168</v>
      </c>
      <c r="B8483">
        <v>2007</v>
      </c>
      <c r="C8483">
        <v>3244.6033810143044</v>
      </c>
    </row>
    <row r="8484" spans="1:3" x14ac:dyDescent="0.35">
      <c r="A8484" t="s">
        <v>168</v>
      </c>
      <c r="B8484">
        <v>2008</v>
      </c>
      <c r="C8484">
        <v>3462.4837451235367</v>
      </c>
    </row>
    <row r="8485" spans="1:3" x14ac:dyDescent="0.35">
      <c r="A8485" t="s">
        <v>168</v>
      </c>
      <c r="B8485">
        <v>2009</v>
      </c>
      <c r="C8485">
        <v>3367.4902470741231</v>
      </c>
    </row>
    <row r="8486" spans="1:3" x14ac:dyDescent="0.35">
      <c r="A8486" t="s">
        <v>168</v>
      </c>
      <c r="B8486">
        <v>2010</v>
      </c>
      <c r="C8486">
        <v>3671.3914174252277</v>
      </c>
    </row>
    <row r="8487" spans="1:3" x14ac:dyDescent="0.35">
      <c r="A8487" t="s">
        <v>168</v>
      </c>
      <c r="B8487">
        <v>2011</v>
      </c>
      <c r="C8487">
        <v>5000.7152145643686</v>
      </c>
    </row>
    <row r="8488" spans="1:3" x14ac:dyDescent="0.35">
      <c r="A8488" t="s">
        <v>168</v>
      </c>
      <c r="B8488">
        <v>2012</v>
      </c>
      <c r="C8488">
        <v>9250.6501950585171</v>
      </c>
    </row>
    <row r="8489" spans="1:3" x14ac:dyDescent="0.35">
      <c r="A8489" t="s">
        <v>168</v>
      </c>
      <c r="B8489">
        <v>2013</v>
      </c>
      <c r="C8489">
        <v>8766.3198959687907</v>
      </c>
    </row>
    <row r="8490" spans="1:3" x14ac:dyDescent="0.35">
      <c r="A8490" t="s">
        <v>168</v>
      </c>
      <c r="B8490">
        <v>2014</v>
      </c>
      <c r="C8490">
        <v>8213.524057217166</v>
      </c>
    </row>
    <row r="8491" spans="1:3" x14ac:dyDescent="0.35">
      <c r="A8491" t="s">
        <v>168</v>
      </c>
      <c r="B8491">
        <v>2015</v>
      </c>
      <c r="C8491">
        <v>7533.5500650195045</v>
      </c>
    </row>
    <row r="8492" spans="1:3" x14ac:dyDescent="0.35">
      <c r="A8492" t="s">
        <v>168</v>
      </c>
      <c r="B8492">
        <v>2016</v>
      </c>
      <c r="C8492">
        <v>7935.9557867360209</v>
      </c>
    </row>
    <row r="8493" spans="1:3" x14ac:dyDescent="0.35">
      <c r="A8493" t="s">
        <v>168</v>
      </c>
      <c r="B8493">
        <v>2017</v>
      </c>
      <c r="C8493">
        <v>6802.6657997399216</v>
      </c>
    </row>
    <row r="8494" spans="1:3" x14ac:dyDescent="0.35">
      <c r="A8494" t="s">
        <v>168</v>
      </c>
      <c r="B8494">
        <v>2018</v>
      </c>
      <c r="C8494">
        <v>7565.3446033810142</v>
      </c>
    </row>
    <row r="8495" spans="1:3" x14ac:dyDescent="0.35">
      <c r="A8495" t="s">
        <v>168</v>
      </c>
      <c r="B8495">
        <v>2019</v>
      </c>
      <c r="C8495">
        <v>6551.040312093628</v>
      </c>
    </row>
    <row r="8496" spans="1:3" x14ac:dyDescent="0.35">
      <c r="A8496" t="s">
        <v>168</v>
      </c>
      <c r="B8496">
        <v>2020</v>
      </c>
      <c r="C8496">
        <v>6095.708712613784</v>
      </c>
    </row>
    <row r="8497" spans="1:3" x14ac:dyDescent="0.35">
      <c r="A8497" t="s">
        <v>168</v>
      </c>
      <c r="B8497">
        <v>2021</v>
      </c>
      <c r="C8497">
        <v>5783.6150845253569</v>
      </c>
    </row>
    <row r="8498" spans="1:3" x14ac:dyDescent="0.35">
      <c r="A8498" t="s">
        <v>168</v>
      </c>
      <c r="B8498">
        <v>2022</v>
      </c>
      <c r="C8498">
        <v>5783.4850455136539</v>
      </c>
    </row>
    <row r="8499" spans="1:3" x14ac:dyDescent="0.35">
      <c r="A8499" t="s">
        <v>168</v>
      </c>
      <c r="B8499">
        <v>2023</v>
      </c>
      <c r="C8499">
        <v>5851.7555266579975</v>
      </c>
    </row>
    <row r="8500" spans="1:3" x14ac:dyDescent="0.35">
      <c r="A8500" t="s">
        <v>168</v>
      </c>
      <c r="B8500">
        <v>2024</v>
      </c>
      <c r="C8500">
        <v>5988.2964889466839</v>
      </c>
    </row>
    <row r="8501" spans="1:3" x14ac:dyDescent="0.35">
      <c r="A8501" t="s">
        <v>168</v>
      </c>
      <c r="B8501">
        <v>2025</v>
      </c>
      <c r="C8501">
        <v>5988.2964889466839</v>
      </c>
    </row>
    <row r="8502" spans="1:3" x14ac:dyDescent="0.35">
      <c r="A8502" t="s">
        <v>169</v>
      </c>
      <c r="B8502">
        <v>1980</v>
      </c>
      <c r="C8502">
        <v>616.74008810572695</v>
      </c>
    </row>
    <row r="8503" spans="1:3" x14ac:dyDescent="0.35">
      <c r="A8503" t="s">
        <v>169</v>
      </c>
      <c r="B8503">
        <v>1981</v>
      </c>
      <c r="C8503">
        <v>1059.5054945054944</v>
      </c>
    </row>
    <row r="8504" spans="1:3" x14ac:dyDescent="0.35">
      <c r="A8504" t="s">
        <v>169</v>
      </c>
      <c r="B8504">
        <v>1982</v>
      </c>
      <c r="C8504">
        <v>1467.2527472527472</v>
      </c>
    </row>
    <row r="8505" spans="1:3" x14ac:dyDescent="0.35">
      <c r="A8505" t="s">
        <v>169</v>
      </c>
      <c r="B8505">
        <v>1983</v>
      </c>
      <c r="C8505">
        <v>905.19230769230774</v>
      </c>
    </row>
    <row r="8506" spans="1:3" x14ac:dyDescent="0.35">
      <c r="A8506" t="s">
        <v>169</v>
      </c>
      <c r="B8506">
        <v>1984</v>
      </c>
      <c r="C8506">
        <v>874.86263736263732</v>
      </c>
    </row>
    <row r="8507" spans="1:3" x14ac:dyDescent="0.35">
      <c r="A8507" t="s">
        <v>169</v>
      </c>
      <c r="B8507">
        <v>1985</v>
      </c>
      <c r="C8507">
        <v>1528.8736263736262</v>
      </c>
    </row>
    <row r="8508" spans="1:3" x14ac:dyDescent="0.35">
      <c r="A8508" t="s">
        <v>169</v>
      </c>
      <c r="B8508">
        <v>1987</v>
      </c>
      <c r="C8508">
        <v>865.41208791208794</v>
      </c>
    </row>
    <row r="8509" spans="1:3" x14ac:dyDescent="0.35">
      <c r="A8509" t="s">
        <v>169</v>
      </c>
      <c r="B8509">
        <v>1988</v>
      </c>
      <c r="C8509">
        <v>982.55494505494494</v>
      </c>
    </row>
    <row r="8510" spans="1:3" x14ac:dyDescent="0.35">
      <c r="A8510" t="s">
        <v>169</v>
      </c>
      <c r="B8510">
        <v>1989</v>
      </c>
      <c r="C8510">
        <v>848.46153846153845</v>
      </c>
    </row>
    <row r="8511" spans="1:3" x14ac:dyDescent="0.35">
      <c r="A8511" t="s">
        <v>169</v>
      </c>
      <c r="B8511">
        <v>1990</v>
      </c>
      <c r="C8511">
        <v>790.79670329670319</v>
      </c>
    </row>
    <row r="8512" spans="1:3" x14ac:dyDescent="0.35">
      <c r="A8512" t="s">
        <v>169</v>
      </c>
      <c r="B8512">
        <v>1991</v>
      </c>
      <c r="C8512">
        <v>895.63186813186815</v>
      </c>
    </row>
    <row r="8513" spans="1:3" x14ac:dyDescent="0.35">
      <c r="A8513" t="s">
        <v>169</v>
      </c>
      <c r="B8513">
        <v>2002</v>
      </c>
      <c r="C8513">
        <v>760.98901098901092</v>
      </c>
    </row>
    <row r="8514" spans="1:3" x14ac:dyDescent="0.35">
      <c r="A8514" t="s">
        <v>169</v>
      </c>
      <c r="B8514">
        <v>2003</v>
      </c>
      <c r="C8514">
        <v>784.61538461538453</v>
      </c>
    </row>
    <row r="8515" spans="1:3" x14ac:dyDescent="0.35">
      <c r="A8515" t="s">
        <v>169</v>
      </c>
      <c r="B8515">
        <v>2004</v>
      </c>
      <c r="C8515">
        <v>772.36263736263732</v>
      </c>
    </row>
    <row r="8516" spans="1:3" x14ac:dyDescent="0.35">
      <c r="A8516" t="s">
        <v>169</v>
      </c>
      <c r="B8516">
        <v>2005</v>
      </c>
      <c r="C8516">
        <v>887.5</v>
      </c>
    </row>
    <row r="8517" spans="1:3" x14ac:dyDescent="0.35">
      <c r="A8517" t="s">
        <v>169</v>
      </c>
      <c r="B8517">
        <v>2006</v>
      </c>
      <c r="C8517">
        <v>1065.7417582417581</v>
      </c>
    </row>
    <row r="8518" spans="1:3" x14ac:dyDescent="0.35">
      <c r="A8518" t="s">
        <v>169</v>
      </c>
      <c r="B8518">
        <v>2007</v>
      </c>
      <c r="C8518">
        <v>1562.2252747252746</v>
      </c>
    </row>
    <row r="8519" spans="1:3" x14ac:dyDescent="0.35">
      <c r="A8519" t="s">
        <v>169</v>
      </c>
      <c r="B8519">
        <v>2008</v>
      </c>
      <c r="C8519">
        <v>2317.5</v>
      </c>
    </row>
    <row r="8520" spans="1:3" x14ac:dyDescent="0.35">
      <c r="A8520" t="s">
        <v>169</v>
      </c>
      <c r="B8520">
        <v>2009</v>
      </c>
      <c r="C8520">
        <v>1948.3516483516482</v>
      </c>
    </row>
    <row r="8521" spans="1:3" x14ac:dyDescent="0.35">
      <c r="A8521" t="s">
        <v>169</v>
      </c>
      <c r="B8521">
        <v>2010</v>
      </c>
      <c r="C8521">
        <v>1876.7582417582416</v>
      </c>
    </row>
    <row r="8522" spans="1:3" x14ac:dyDescent="0.35">
      <c r="A8522" t="s">
        <v>169</v>
      </c>
      <c r="B8522">
        <v>2021</v>
      </c>
      <c r="C8522">
        <v>11593.406593406593</v>
      </c>
    </row>
    <row r="8523" spans="1:3" x14ac:dyDescent="0.35">
      <c r="A8523" t="s">
        <v>169</v>
      </c>
      <c r="B8523">
        <v>2022</v>
      </c>
      <c r="C8523">
        <v>15412.087912087911</v>
      </c>
    </row>
    <row r="8524" spans="1:3" x14ac:dyDescent="0.35">
      <c r="A8524" t="s">
        <v>170</v>
      </c>
      <c r="B8524">
        <v>1958</v>
      </c>
      <c r="C8524">
        <v>71.2</v>
      </c>
    </row>
    <row r="8525" spans="1:3" x14ac:dyDescent="0.35">
      <c r="A8525" t="s">
        <v>170</v>
      </c>
      <c r="B8525">
        <v>1959</v>
      </c>
      <c r="C8525">
        <v>72.266666666666666</v>
      </c>
    </row>
    <row r="8526" spans="1:3" x14ac:dyDescent="0.35">
      <c r="A8526" t="s">
        <v>170</v>
      </c>
      <c r="B8526">
        <v>1960</v>
      </c>
      <c r="C8526">
        <v>140.88888888888889</v>
      </c>
    </row>
    <row r="8527" spans="1:3" x14ac:dyDescent="0.35">
      <c r="A8527" t="s">
        <v>170</v>
      </c>
      <c r="B8527">
        <v>1961</v>
      </c>
      <c r="C8527">
        <v>71.555555555555557</v>
      </c>
    </row>
    <row r="8528" spans="1:3" x14ac:dyDescent="0.35">
      <c r="A8528" t="s">
        <v>170</v>
      </c>
      <c r="B8528">
        <v>1962</v>
      </c>
      <c r="C8528">
        <v>84.222222222222229</v>
      </c>
    </row>
    <row r="8529" spans="1:3" x14ac:dyDescent="0.35">
      <c r="A8529" t="s">
        <v>170</v>
      </c>
      <c r="B8529">
        <v>1963</v>
      </c>
      <c r="C8529">
        <v>113.77777777777777</v>
      </c>
    </row>
    <row r="8530" spans="1:3" x14ac:dyDescent="0.35">
      <c r="A8530" t="s">
        <v>170</v>
      </c>
      <c r="B8530">
        <v>1964</v>
      </c>
      <c r="C8530">
        <v>123.55555555555556</v>
      </c>
    </row>
    <row r="8531" spans="1:3" x14ac:dyDescent="0.35">
      <c r="A8531" t="s">
        <v>170</v>
      </c>
      <c r="B8531">
        <v>1965</v>
      </c>
      <c r="C8531">
        <v>177.7777777777778</v>
      </c>
    </row>
    <row r="8532" spans="1:3" x14ac:dyDescent="0.35">
      <c r="A8532" t="s">
        <v>170</v>
      </c>
      <c r="B8532">
        <v>1966</v>
      </c>
      <c r="C8532">
        <v>300.4444444444444</v>
      </c>
    </row>
    <row r="8533" spans="1:3" x14ac:dyDescent="0.35">
      <c r="A8533" t="s">
        <v>170</v>
      </c>
      <c r="B8533">
        <v>1967</v>
      </c>
      <c r="C8533">
        <v>336.22222222222223</v>
      </c>
    </row>
    <row r="8534" spans="1:3" x14ac:dyDescent="0.35">
      <c r="A8534" t="s">
        <v>170</v>
      </c>
      <c r="B8534">
        <v>1968</v>
      </c>
      <c r="C8534">
        <v>338.66666666666669</v>
      </c>
    </row>
    <row r="8535" spans="1:3" x14ac:dyDescent="0.35">
      <c r="A8535" t="s">
        <v>170</v>
      </c>
      <c r="B8535">
        <v>1969</v>
      </c>
      <c r="C8535">
        <v>429.33333333333331</v>
      </c>
    </row>
    <row r="8536" spans="1:3" x14ac:dyDescent="0.35">
      <c r="A8536" t="s">
        <v>170</v>
      </c>
      <c r="B8536">
        <v>1970</v>
      </c>
      <c r="C8536">
        <v>471.5555555555556</v>
      </c>
    </row>
    <row r="8537" spans="1:3" x14ac:dyDescent="0.35">
      <c r="A8537" t="s">
        <v>170</v>
      </c>
      <c r="B8537">
        <v>1971</v>
      </c>
      <c r="C8537">
        <v>587.2743117078204</v>
      </c>
    </row>
    <row r="8538" spans="1:3" x14ac:dyDescent="0.35">
      <c r="A8538" t="s">
        <v>170</v>
      </c>
      <c r="B8538">
        <v>1972</v>
      </c>
      <c r="C8538">
        <v>930.57482357198853</v>
      </c>
    </row>
    <row r="8539" spans="1:3" x14ac:dyDescent="0.35">
      <c r="A8539" t="s">
        <v>170</v>
      </c>
      <c r="B8539">
        <v>1973</v>
      </c>
      <c r="C8539">
        <v>1565.5899357630599</v>
      </c>
    </row>
    <row r="8540" spans="1:3" x14ac:dyDescent="0.35">
      <c r="A8540" t="s">
        <v>170</v>
      </c>
      <c r="B8540">
        <v>1977</v>
      </c>
      <c r="C8540">
        <v>11584.767351477705</v>
      </c>
    </row>
    <row r="8541" spans="1:3" x14ac:dyDescent="0.35">
      <c r="A8541" t="s">
        <v>170</v>
      </c>
      <c r="B8541">
        <v>1978</v>
      </c>
      <c r="C8541">
        <v>13404.087587805481</v>
      </c>
    </row>
    <row r="8542" spans="1:3" x14ac:dyDescent="0.35">
      <c r="A8542" t="s">
        <v>170</v>
      </c>
      <c r="B8542">
        <v>1979</v>
      </c>
      <c r="C8542">
        <v>17616.726770688278</v>
      </c>
    </row>
    <row r="8543" spans="1:3" x14ac:dyDescent="0.35">
      <c r="A8543" t="s">
        <v>170</v>
      </c>
      <c r="B8543">
        <v>1980</v>
      </c>
      <c r="C8543">
        <v>20724.493047247455</v>
      </c>
    </row>
    <row r="8544" spans="1:3" x14ac:dyDescent="0.35">
      <c r="A8544" t="s">
        <v>170</v>
      </c>
      <c r="B8544">
        <v>1981</v>
      </c>
      <c r="C8544">
        <v>24399.927864219175</v>
      </c>
    </row>
    <row r="8545" spans="1:3" x14ac:dyDescent="0.35">
      <c r="A8545" t="s">
        <v>170</v>
      </c>
      <c r="B8545">
        <v>1982</v>
      </c>
      <c r="C8545">
        <v>27095.79746628668</v>
      </c>
    </row>
    <row r="8546" spans="1:3" x14ac:dyDescent="0.35">
      <c r="A8546" t="s">
        <v>170</v>
      </c>
      <c r="B8546">
        <v>1983</v>
      </c>
      <c r="C8546">
        <v>21872.720536303535</v>
      </c>
    </row>
    <row r="8547" spans="1:3" x14ac:dyDescent="0.35">
      <c r="A8547" t="s">
        <v>170</v>
      </c>
      <c r="B8547">
        <v>1984</v>
      </c>
      <c r="C8547">
        <v>22672.050990263378</v>
      </c>
    </row>
    <row r="8548" spans="1:3" x14ac:dyDescent="0.35">
      <c r="A8548" t="s">
        <v>170</v>
      </c>
      <c r="B8548">
        <v>1985</v>
      </c>
      <c r="C8548">
        <v>17656.965219455902</v>
      </c>
    </row>
    <row r="8549" spans="1:3" x14ac:dyDescent="0.35">
      <c r="A8549" t="s">
        <v>170</v>
      </c>
      <c r="B8549">
        <v>1987</v>
      </c>
      <c r="C8549">
        <v>14460.266666666666</v>
      </c>
    </row>
    <row r="8550" spans="1:3" x14ac:dyDescent="0.35">
      <c r="A8550" t="s">
        <v>170</v>
      </c>
      <c r="B8550">
        <v>1988</v>
      </c>
      <c r="C8550">
        <v>13354.666666666666</v>
      </c>
    </row>
    <row r="8551" spans="1:3" x14ac:dyDescent="0.35">
      <c r="A8551" t="s">
        <v>170</v>
      </c>
      <c r="B8551">
        <v>1989</v>
      </c>
      <c r="C8551">
        <v>12749.866666666667</v>
      </c>
    </row>
    <row r="8552" spans="1:3" x14ac:dyDescent="0.35">
      <c r="A8552" t="s">
        <v>170</v>
      </c>
      <c r="B8552">
        <v>1990</v>
      </c>
      <c r="C8552">
        <v>16355.466666666665</v>
      </c>
    </row>
    <row r="8553" spans="1:3" x14ac:dyDescent="0.35">
      <c r="A8553" t="s">
        <v>170</v>
      </c>
      <c r="B8553">
        <v>1991</v>
      </c>
      <c r="C8553">
        <v>16355.466666666665</v>
      </c>
    </row>
    <row r="8554" spans="1:3" x14ac:dyDescent="0.35">
      <c r="A8554" t="s">
        <v>170</v>
      </c>
      <c r="B8554">
        <v>1992</v>
      </c>
      <c r="C8554">
        <v>15360.266666666666</v>
      </c>
    </row>
    <row r="8555" spans="1:3" x14ac:dyDescent="0.35">
      <c r="A8555" t="s">
        <v>170</v>
      </c>
      <c r="B8555">
        <v>1993</v>
      </c>
      <c r="C8555">
        <v>16451.2</v>
      </c>
    </row>
    <row r="8556" spans="1:3" x14ac:dyDescent="0.35">
      <c r="A8556" t="s">
        <v>170</v>
      </c>
      <c r="B8556">
        <v>1994</v>
      </c>
      <c r="C8556">
        <v>14279.733333333334</v>
      </c>
    </row>
    <row r="8557" spans="1:3" x14ac:dyDescent="0.35">
      <c r="A8557" t="s">
        <v>170</v>
      </c>
      <c r="B8557">
        <v>1995</v>
      </c>
      <c r="C8557">
        <v>13200.266666666666</v>
      </c>
    </row>
    <row r="8558" spans="1:3" x14ac:dyDescent="0.35">
      <c r="A8558" t="s">
        <v>170</v>
      </c>
      <c r="B8558">
        <v>1996</v>
      </c>
      <c r="C8558">
        <v>13340</v>
      </c>
    </row>
    <row r="8559" spans="1:3" x14ac:dyDescent="0.35">
      <c r="A8559" t="s">
        <v>170</v>
      </c>
      <c r="B8559">
        <v>1997</v>
      </c>
      <c r="C8559">
        <v>18126.666666666668</v>
      </c>
    </row>
    <row r="8560" spans="1:3" x14ac:dyDescent="0.35">
      <c r="A8560" t="s">
        <v>170</v>
      </c>
      <c r="B8560">
        <v>1998</v>
      </c>
      <c r="C8560">
        <v>20861.599999999999</v>
      </c>
    </row>
    <row r="8561" spans="1:3" x14ac:dyDescent="0.35">
      <c r="A8561" t="s">
        <v>170</v>
      </c>
      <c r="B8561">
        <v>1999</v>
      </c>
      <c r="C8561">
        <v>18320</v>
      </c>
    </row>
    <row r="8562" spans="1:3" x14ac:dyDescent="0.35">
      <c r="A8562" t="s">
        <v>170</v>
      </c>
      <c r="B8562">
        <v>2000</v>
      </c>
      <c r="C8562">
        <v>19964.266666666666</v>
      </c>
    </row>
    <row r="8563" spans="1:3" x14ac:dyDescent="0.35">
      <c r="A8563" t="s">
        <v>170</v>
      </c>
      <c r="B8563">
        <v>2001</v>
      </c>
      <c r="C8563">
        <v>21026.666666666668</v>
      </c>
    </row>
    <row r="8564" spans="1:3" x14ac:dyDescent="0.35">
      <c r="A8564" t="s">
        <v>170</v>
      </c>
      <c r="B8564">
        <v>2002</v>
      </c>
      <c r="C8564">
        <v>18501.866666666669</v>
      </c>
    </row>
    <row r="8565" spans="1:3" x14ac:dyDescent="0.35">
      <c r="A8565" t="s">
        <v>170</v>
      </c>
      <c r="B8565">
        <v>2003</v>
      </c>
      <c r="C8565">
        <v>18747.466666666667</v>
      </c>
    </row>
    <row r="8566" spans="1:3" x14ac:dyDescent="0.35">
      <c r="A8566" t="s">
        <v>170</v>
      </c>
      <c r="B8566">
        <v>2004</v>
      </c>
      <c r="C8566">
        <v>20910.400000000001</v>
      </c>
    </row>
    <row r="8567" spans="1:3" x14ac:dyDescent="0.35">
      <c r="A8567" t="s">
        <v>170</v>
      </c>
      <c r="B8567">
        <v>2005</v>
      </c>
      <c r="C8567">
        <v>25392.038600723761</v>
      </c>
    </row>
    <row r="8568" spans="1:3" x14ac:dyDescent="0.35">
      <c r="A8568" t="s">
        <v>170</v>
      </c>
      <c r="B8568">
        <v>2006</v>
      </c>
      <c r="C8568">
        <v>29580.507343124165</v>
      </c>
    </row>
    <row r="8569" spans="1:3" x14ac:dyDescent="0.35">
      <c r="A8569" t="s">
        <v>170</v>
      </c>
      <c r="B8569">
        <v>2007</v>
      </c>
      <c r="C8569">
        <v>35469.513008672446</v>
      </c>
    </row>
    <row r="8570" spans="1:3" x14ac:dyDescent="0.35">
      <c r="A8570" t="s">
        <v>170</v>
      </c>
      <c r="B8570">
        <v>2008</v>
      </c>
      <c r="C8570">
        <v>38222.933333333334</v>
      </c>
    </row>
    <row r="8571" spans="1:3" x14ac:dyDescent="0.35">
      <c r="A8571" t="s">
        <v>170</v>
      </c>
      <c r="B8571">
        <v>2009</v>
      </c>
      <c r="C8571">
        <v>41267.199999999997</v>
      </c>
    </row>
    <row r="8572" spans="1:3" x14ac:dyDescent="0.35">
      <c r="A8572" t="s">
        <v>170</v>
      </c>
      <c r="B8572">
        <v>2010</v>
      </c>
      <c r="C8572">
        <v>45244.533333333333</v>
      </c>
    </row>
    <row r="8573" spans="1:3" x14ac:dyDescent="0.35">
      <c r="A8573" t="s">
        <v>170</v>
      </c>
      <c r="B8573">
        <v>2011</v>
      </c>
      <c r="C8573">
        <v>48530.933333333334</v>
      </c>
    </row>
    <row r="8574" spans="1:3" x14ac:dyDescent="0.35">
      <c r="A8574" t="s">
        <v>170</v>
      </c>
      <c r="B8574">
        <v>2012</v>
      </c>
      <c r="C8574">
        <v>56497.866666666661</v>
      </c>
    </row>
    <row r="8575" spans="1:3" x14ac:dyDescent="0.35">
      <c r="A8575" t="s">
        <v>170</v>
      </c>
      <c r="B8575">
        <v>2013</v>
      </c>
      <c r="C8575">
        <v>67020</v>
      </c>
    </row>
    <row r="8576" spans="1:3" x14ac:dyDescent="0.35">
      <c r="A8576" t="s">
        <v>170</v>
      </c>
      <c r="B8576">
        <v>2014</v>
      </c>
      <c r="C8576">
        <v>80762.399999999994</v>
      </c>
    </row>
    <row r="8577" spans="1:3" x14ac:dyDescent="0.35">
      <c r="A8577" t="s">
        <v>170</v>
      </c>
      <c r="B8577">
        <v>2015</v>
      </c>
      <c r="C8577">
        <v>87185.866666666669</v>
      </c>
    </row>
    <row r="8578" spans="1:3" x14ac:dyDescent="0.35">
      <c r="A8578" t="s">
        <v>170</v>
      </c>
      <c r="B8578">
        <v>2016</v>
      </c>
      <c r="C8578">
        <v>63672.800000000003</v>
      </c>
    </row>
    <row r="8579" spans="1:3" x14ac:dyDescent="0.35">
      <c r="A8579" t="s">
        <v>170</v>
      </c>
      <c r="B8579">
        <v>2017</v>
      </c>
      <c r="C8579">
        <v>70400</v>
      </c>
    </row>
    <row r="8580" spans="1:3" x14ac:dyDescent="0.35">
      <c r="A8580" t="s">
        <v>170</v>
      </c>
      <c r="B8580">
        <v>2018</v>
      </c>
      <c r="C8580">
        <v>74612.266666666677</v>
      </c>
    </row>
    <row r="8581" spans="1:3" x14ac:dyDescent="0.35">
      <c r="A8581" t="s">
        <v>170</v>
      </c>
      <c r="B8581">
        <v>2019</v>
      </c>
      <c r="C8581">
        <v>65362.666666666664</v>
      </c>
    </row>
    <row r="8582" spans="1:3" x14ac:dyDescent="0.35">
      <c r="A8582" t="s">
        <v>170</v>
      </c>
      <c r="B8582">
        <v>2020</v>
      </c>
      <c r="C8582">
        <v>64558.400000000001</v>
      </c>
    </row>
    <row r="8583" spans="1:3" x14ac:dyDescent="0.35">
      <c r="A8583" t="s">
        <v>170</v>
      </c>
      <c r="B8583">
        <v>2021</v>
      </c>
      <c r="C8583">
        <v>63194.666666666664</v>
      </c>
    </row>
    <row r="8584" spans="1:3" x14ac:dyDescent="0.35">
      <c r="A8584" t="s">
        <v>170</v>
      </c>
      <c r="B8584">
        <v>2022</v>
      </c>
      <c r="C8584">
        <v>70920</v>
      </c>
    </row>
    <row r="8585" spans="1:3" x14ac:dyDescent="0.35">
      <c r="A8585" t="s">
        <v>170</v>
      </c>
      <c r="B8585">
        <v>2023</v>
      </c>
      <c r="C8585">
        <v>77765.333333333328</v>
      </c>
    </row>
    <row r="8586" spans="1:3" x14ac:dyDescent="0.35">
      <c r="A8586" t="s">
        <v>170</v>
      </c>
      <c r="B8586">
        <v>2024</v>
      </c>
      <c r="C8586">
        <v>80330.666666666672</v>
      </c>
    </row>
    <row r="8587" spans="1:3" x14ac:dyDescent="0.35">
      <c r="A8587" t="s">
        <v>170</v>
      </c>
      <c r="B8587">
        <v>2025</v>
      </c>
      <c r="C8587">
        <v>83181.333333333328</v>
      </c>
    </row>
    <row r="8588" spans="1:3" x14ac:dyDescent="0.35">
      <c r="A8588" t="s">
        <v>171</v>
      </c>
      <c r="B8588">
        <v>1956</v>
      </c>
      <c r="C8588">
        <v>55.58659217877095</v>
      </c>
    </row>
    <row r="8589" spans="1:3" x14ac:dyDescent="0.35">
      <c r="A8589" t="s">
        <v>171</v>
      </c>
      <c r="B8589">
        <v>1957</v>
      </c>
      <c r="C8589">
        <v>48.324022346368714</v>
      </c>
    </row>
    <row r="8590" spans="1:3" x14ac:dyDescent="0.35">
      <c r="A8590" t="s">
        <v>171</v>
      </c>
      <c r="B8590">
        <v>1958</v>
      </c>
      <c r="C8590">
        <v>81.005586592178759</v>
      </c>
    </row>
    <row r="8591" spans="1:3" x14ac:dyDescent="0.35">
      <c r="A8591" t="s">
        <v>171</v>
      </c>
      <c r="B8591">
        <v>1959</v>
      </c>
      <c r="C8591">
        <v>82.960893854748605</v>
      </c>
    </row>
    <row r="8592" spans="1:3" x14ac:dyDescent="0.35">
      <c r="A8592" t="s">
        <v>171</v>
      </c>
      <c r="B8592">
        <v>1960</v>
      </c>
      <c r="C8592">
        <v>90.22346368715084</v>
      </c>
    </row>
    <row r="8593" spans="1:3" x14ac:dyDescent="0.35">
      <c r="A8593" t="s">
        <v>171</v>
      </c>
      <c r="B8593">
        <v>1961</v>
      </c>
      <c r="C8593">
        <v>90.22346368715084</v>
      </c>
    </row>
    <row r="8594" spans="1:3" x14ac:dyDescent="0.35">
      <c r="A8594" t="s">
        <v>171</v>
      </c>
      <c r="B8594">
        <v>1962</v>
      </c>
      <c r="C8594">
        <v>149.59349593495935</v>
      </c>
    </row>
    <row r="8595" spans="1:3" x14ac:dyDescent="0.35">
      <c r="A8595" t="s">
        <v>171</v>
      </c>
      <c r="B8595">
        <v>1964</v>
      </c>
      <c r="C8595">
        <v>112.04188481675394</v>
      </c>
    </row>
    <row r="8596" spans="1:3" x14ac:dyDescent="0.35">
      <c r="A8596" t="s">
        <v>171</v>
      </c>
      <c r="B8596">
        <v>1965</v>
      </c>
      <c r="C8596">
        <v>118.0628272251309</v>
      </c>
    </row>
    <row r="8597" spans="1:3" x14ac:dyDescent="0.35">
      <c r="A8597" t="s">
        <v>171</v>
      </c>
      <c r="B8597">
        <v>1966</v>
      </c>
      <c r="C8597">
        <v>102.35602094240838</v>
      </c>
    </row>
    <row r="8598" spans="1:3" x14ac:dyDescent="0.35">
      <c r="A8598" t="s">
        <v>171</v>
      </c>
      <c r="B8598">
        <v>1967</v>
      </c>
      <c r="C8598">
        <v>118.58638743455498</v>
      </c>
    </row>
    <row r="8599" spans="1:3" x14ac:dyDescent="0.35">
      <c r="A8599" t="s">
        <v>171</v>
      </c>
      <c r="B8599">
        <v>1968</v>
      </c>
      <c r="C8599">
        <v>190.05235602094243</v>
      </c>
    </row>
    <row r="8600" spans="1:3" x14ac:dyDescent="0.35">
      <c r="A8600" t="s">
        <v>171</v>
      </c>
      <c r="B8600">
        <v>1969</v>
      </c>
      <c r="C8600">
        <v>194.50261780104711</v>
      </c>
    </row>
    <row r="8601" spans="1:3" x14ac:dyDescent="0.35">
      <c r="A8601" t="s">
        <v>171</v>
      </c>
      <c r="B8601">
        <v>1970</v>
      </c>
      <c r="C8601">
        <v>199.73821989528795</v>
      </c>
    </row>
    <row r="8602" spans="1:3" x14ac:dyDescent="0.35">
      <c r="A8602" t="s">
        <v>171</v>
      </c>
      <c r="B8602">
        <v>1971</v>
      </c>
      <c r="C8602">
        <v>176.96335078534031</v>
      </c>
    </row>
    <row r="8603" spans="1:3" x14ac:dyDescent="0.35">
      <c r="A8603" t="s">
        <v>171</v>
      </c>
      <c r="B8603">
        <v>1972</v>
      </c>
      <c r="C8603">
        <v>260.20942408376965</v>
      </c>
    </row>
    <row r="8604" spans="1:3" x14ac:dyDescent="0.35">
      <c r="A8604" t="s">
        <v>171</v>
      </c>
      <c r="B8604">
        <v>1973</v>
      </c>
      <c r="C8604">
        <v>388.67455698685677</v>
      </c>
    </row>
    <row r="8605" spans="1:3" x14ac:dyDescent="0.35">
      <c r="A8605" t="s">
        <v>171</v>
      </c>
      <c r="B8605">
        <v>1974</v>
      </c>
      <c r="C8605">
        <v>537.38092431662074</v>
      </c>
    </row>
    <row r="8606" spans="1:3" x14ac:dyDescent="0.35">
      <c r="A8606" t="s">
        <v>171</v>
      </c>
      <c r="B8606">
        <v>1975</v>
      </c>
      <c r="C8606">
        <v>887.83783783783781</v>
      </c>
    </row>
    <row r="8607" spans="1:3" x14ac:dyDescent="0.35">
      <c r="A8607" t="s">
        <v>171</v>
      </c>
      <c r="B8607">
        <v>1976</v>
      </c>
      <c r="C8607">
        <v>945.05888124339742</v>
      </c>
    </row>
    <row r="8608" spans="1:3" x14ac:dyDescent="0.35">
      <c r="A8608" t="s">
        <v>171</v>
      </c>
      <c r="B8608">
        <v>1977</v>
      </c>
      <c r="C8608">
        <v>998.21656050955414</v>
      </c>
    </row>
    <row r="8609" spans="1:3" x14ac:dyDescent="0.35">
      <c r="A8609" t="s">
        <v>171</v>
      </c>
      <c r="B8609">
        <v>1978</v>
      </c>
      <c r="C8609">
        <v>1213.5031847133757</v>
      </c>
    </row>
    <row r="8610" spans="1:3" x14ac:dyDescent="0.35">
      <c r="A8610" t="s">
        <v>171</v>
      </c>
      <c r="B8610">
        <v>1979</v>
      </c>
      <c r="C8610">
        <v>1581.656050955414</v>
      </c>
    </row>
    <row r="8611" spans="1:3" x14ac:dyDescent="0.35">
      <c r="A8611" t="s">
        <v>171</v>
      </c>
      <c r="B8611">
        <v>1980</v>
      </c>
      <c r="C8611">
        <v>2253.248407643312</v>
      </c>
    </row>
    <row r="8612" spans="1:3" x14ac:dyDescent="0.35">
      <c r="A8612" t="s">
        <v>171</v>
      </c>
      <c r="B8612">
        <v>1981</v>
      </c>
      <c r="C8612">
        <v>2437.7070063694268</v>
      </c>
    </row>
    <row r="8613" spans="1:3" x14ac:dyDescent="0.35">
      <c r="A8613" t="s">
        <v>171</v>
      </c>
      <c r="B8613">
        <v>1982</v>
      </c>
      <c r="C8613">
        <v>2726.8789808917199</v>
      </c>
    </row>
    <row r="8614" spans="1:3" x14ac:dyDescent="0.35">
      <c r="A8614" t="s">
        <v>171</v>
      </c>
      <c r="B8614">
        <v>1983</v>
      </c>
      <c r="C8614">
        <v>2733.503184713376</v>
      </c>
    </row>
    <row r="8615" spans="1:3" x14ac:dyDescent="0.35">
      <c r="A8615" t="s">
        <v>171</v>
      </c>
      <c r="B8615">
        <v>1984</v>
      </c>
      <c r="C8615">
        <v>3394.9044585987263</v>
      </c>
    </row>
    <row r="8616" spans="1:3" x14ac:dyDescent="0.35">
      <c r="A8616" t="s">
        <v>171</v>
      </c>
      <c r="B8616">
        <v>1985</v>
      </c>
      <c r="C8616">
        <v>3510.3184713375799</v>
      </c>
    </row>
    <row r="8617" spans="1:3" x14ac:dyDescent="0.35">
      <c r="A8617" t="s">
        <v>171</v>
      </c>
      <c r="B8617">
        <v>1986</v>
      </c>
      <c r="C8617">
        <v>3678.9808917197452</v>
      </c>
    </row>
    <row r="8618" spans="1:3" x14ac:dyDescent="0.35">
      <c r="A8618" t="s">
        <v>171</v>
      </c>
      <c r="B8618">
        <v>1987</v>
      </c>
      <c r="C8618">
        <v>3650.191082802548</v>
      </c>
    </row>
    <row r="8619" spans="1:3" x14ac:dyDescent="0.35">
      <c r="A8619" t="s">
        <v>171</v>
      </c>
      <c r="B8619">
        <v>1988</v>
      </c>
      <c r="C8619">
        <v>3722.802547770701</v>
      </c>
    </row>
    <row r="8620" spans="1:3" x14ac:dyDescent="0.35">
      <c r="A8620" t="s">
        <v>171</v>
      </c>
      <c r="B8620">
        <v>1989</v>
      </c>
      <c r="C8620">
        <v>1483.652561247216</v>
      </c>
    </row>
    <row r="8621" spans="1:3" x14ac:dyDescent="0.35">
      <c r="A8621" t="s">
        <v>171</v>
      </c>
      <c r="B8621">
        <v>1990</v>
      </c>
      <c r="C8621">
        <v>1641.781737193764</v>
      </c>
    </row>
    <row r="8622" spans="1:3" x14ac:dyDescent="0.35">
      <c r="A8622" t="s">
        <v>171</v>
      </c>
      <c r="B8622">
        <v>1991</v>
      </c>
      <c r="C8622">
        <v>2893.8084632516702</v>
      </c>
    </row>
    <row r="8623" spans="1:3" x14ac:dyDescent="0.35">
      <c r="A8623" t="s">
        <v>171</v>
      </c>
      <c r="B8623">
        <v>1992</v>
      </c>
      <c r="C8623">
        <v>2976.5701559020049</v>
      </c>
    </row>
    <row r="8624" spans="1:3" x14ac:dyDescent="0.35">
      <c r="A8624" t="s">
        <v>171</v>
      </c>
      <c r="B8624">
        <v>1993</v>
      </c>
      <c r="C8624">
        <v>1426.0952380952383</v>
      </c>
    </row>
    <row r="8625" spans="1:3" x14ac:dyDescent="0.35">
      <c r="A8625" t="s">
        <v>171</v>
      </c>
      <c r="B8625">
        <v>1994</v>
      </c>
      <c r="C8625">
        <v>1636.2997760899152</v>
      </c>
    </row>
    <row r="8626" spans="1:3" x14ac:dyDescent="0.35">
      <c r="A8626" t="s">
        <v>171</v>
      </c>
      <c r="B8626">
        <v>1995</v>
      </c>
      <c r="C8626">
        <v>957.89981894990956</v>
      </c>
    </row>
    <row r="8627" spans="1:3" x14ac:dyDescent="0.35">
      <c r="A8627" t="s">
        <v>171</v>
      </c>
      <c r="B8627">
        <v>1996</v>
      </c>
      <c r="C8627">
        <v>995.08904093260537</v>
      </c>
    </row>
    <row r="8628" spans="1:3" x14ac:dyDescent="0.35">
      <c r="A8628" t="s">
        <v>171</v>
      </c>
      <c r="B8628">
        <v>1997</v>
      </c>
      <c r="C8628">
        <v>1046.927961044541</v>
      </c>
    </row>
    <row r="8629" spans="1:3" x14ac:dyDescent="0.35">
      <c r="A8629" t="s">
        <v>171</v>
      </c>
      <c r="B8629">
        <v>1998</v>
      </c>
      <c r="C8629">
        <v>1096.0395330516365</v>
      </c>
    </row>
    <row r="8630" spans="1:3" x14ac:dyDescent="0.35">
      <c r="A8630" t="s">
        <v>171</v>
      </c>
      <c r="B8630">
        <v>1999</v>
      </c>
      <c r="C8630">
        <v>1127.6328571090103</v>
      </c>
    </row>
    <row r="8631" spans="1:3" x14ac:dyDescent="0.35">
      <c r="A8631" t="s">
        <v>171</v>
      </c>
      <c r="B8631">
        <v>2000</v>
      </c>
      <c r="C8631">
        <v>897.04490865419598</v>
      </c>
    </row>
    <row r="8632" spans="1:3" x14ac:dyDescent="0.35">
      <c r="A8632" t="s">
        <v>171</v>
      </c>
      <c r="B8632">
        <v>2001</v>
      </c>
      <c r="C8632">
        <v>1022.526577913993</v>
      </c>
    </row>
    <row r="8633" spans="1:3" x14ac:dyDescent="0.35">
      <c r="A8633" t="s">
        <v>171</v>
      </c>
      <c r="B8633">
        <v>2002</v>
      </c>
      <c r="C8633">
        <v>1102.9121569096455</v>
      </c>
    </row>
    <row r="8634" spans="1:3" x14ac:dyDescent="0.35">
      <c r="A8634" t="s">
        <v>171</v>
      </c>
      <c r="B8634">
        <v>2003</v>
      </c>
      <c r="C8634">
        <v>1436.2107335444664</v>
      </c>
    </row>
    <row r="8635" spans="1:3" x14ac:dyDescent="0.35">
      <c r="A8635" t="s">
        <v>171</v>
      </c>
      <c r="B8635">
        <v>2004</v>
      </c>
      <c r="C8635">
        <v>1388.544983485948</v>
      </c>
    </row>
    <row r="8636" spans="1:3" x14ac:dyDescent="0.35">
      <c r="A8636" t="s">
        <v>171</v>
      </c>
      <c r="B8636">
        <v>2005</v>
      </c>
      <c r="C8636">
        <v>1450.3246566683906</v>
      </c>
    </row>
    <row r="8637" spans="1:3" x14ac:dyDescent="0.35">
      <c r="A8637" t="s">
        <v>171</v>
      </c>
      <c r="B8637">
        <v>2006</v>
      </c>
      <c r="C8637">
        <v>1435.2156922841161</v>
      </c>
    </row>
    <row r="8638" spans="1:3" x14ac:dyDescent="0.35">
      <c r="A8638" t="s">
        <v>171</v>
      </c>
      <c r="B8638">
        <v>2007</v>
      </c>
      <c r="C8638">
        <v>1599.0337230650305</v>
      </c>
    </row>
    <row r="8639" spans="1:3" x14ac:dyDescent="0.35">
      <c r="A8639" t="s">
        <v>171</v>
      </c>
      <c r="B8639">
        <v>2008</v>
      </c>
      <c r="C8639">
        <v>1732.4168479019934</v>
      </c>
    </row>
    <row r="8640" spans="1:3" x14ac:dyDescent="0.35">
      <c r="A8640" t="s">
        <v>171</v>
      </c>
      <c r="B8640">
        <v>2009</v>
      </c>
      <c r="C8640">
        <v>2181.9745811918024</v>
      </c>
    </row>
    <row r="8641" spans="1:3" x14ac:dyDescent="0.35">
      <c r="A8641" t="s">
        <v>171</v>
      </c>
      <c r="B8641">
        <v>2010</v>
      </c>
      <c r="C8641">
        <v>2346.0212830123651</v>
      </c>
    </row>
    <row r="8642" spans="1:3" x14ac:dyDescent="0.35">
      <c r="A8642" t="s">
        <v>171</v>
      </c>
      <c r="B8642">
        <v>2011</v>
      </c>
      <c r="C8642">
        <v>2494.8874831483972</v>
      </c>
    </row>
    <row r="8643" spans="1:3" x14ac:dyDescent="0.35">
      <c r="A8643" t="s">
        <v>172</v>
      </c>
      <c r="B8643">
        <v>1949</v>
      </c>
      <c r="C8643">
        <v>197.68186020052622</v>
      </c>
    </row>
    <row r="8644" spans="1:3" x14ac:dyDescent="0.35">
      <c r="A8644" t="s">
        <v>172</v>
      </c>
      <c r="B8644">
        <v>1950</v>
      </c>
      <c r="C8644">
        <v>212.97020550380432</v>
      </c>
    </row>
    <row r="8645" spans="1:3" x14ac:dyDescent="0.35">
      <c r="A8645" t="s">
        <v>172</v>
      </c>
      <c r="B8645">
        <v>1951</v>
      </c>
      <c r="C8645">
        <v>231.81397994737964</v>
      </c>
    </row>
    <row r="8646" spans="1:3" x14ac:dyDescent="0.35">
      <c r="A8646" t="s">
        <v>172</v>
      </c>
      <c r="B8646">
        <v>1952</v>
      </c>
      <c r="C8646">
        <v>257.76861267154948</v>
      </c>
    </row>
    <row r="8647" spans="1:3" x14ac:dyDescent="0.35">
      <c r="A8647" t="s">
        <v>172</v>
      </c>
      <c r="B8647">
        <v>1953</v>
      </c>
      <c r="C8647">
        <v>294.0339899025812</v>
      </c>
    </row>
    <row r="8648" spans="1:3" x14ac:dyDescent="0.35">
      <c r="A8648" t="s">
        <v>172</v>
      </c>
      <c r="B8648">
        <v>1954</v>
      </c>
      <c r="C8648">
        <v>332.07708170376162</v>
      </c>
    </row>
    <row r="8649" spans="1:3" x14ac:dyDescent="0.35">
      <c r="A8649" t="s">
        <v>172</v>
      </c>
      <c r="B8649">
        <v>1955</v>
      </c>
      <c r="C8649">
        <v>382.91971841001208</v>
      </c>
    </row>
    <row r="8650" spans="1:3" x14ac:dyDescent="0.35">
      <c r="A8650" t="s">
        <v>172</v>
      </c>
      <c r="B8650">
        <v>1956</v>
      </c>
      <c r="C8650">
        <v>412.07423736044944</v>
      </c>
    </row>
    <row r="8651" spans="1:3" x14ac:dyDescent="0.35">
      <c r="A8651" t="s">
        <v>172</v>
      </c>
      <c r="B8651">
        <v>1957</v>
      </c>
      <c r="C8651">
        <v>450.11732916162981</v>
      </c>
    </row>
    <row r="8652" spans="1:3" x14ac:dyDescent="0.35">
      <c r="A8652" t="s">
        <v>172</v>
      </c>
      <c r="B8652">
        <v>1958</v>
      </c>
      <c r="C8652">
        <v>523.13167259786474</v>
      </c>
    </row>
    <row r="8653" spans="1:3" x14ac:dyDescent="0.35">
      <c r="A8653" t="s">
        <v>172</v>
      </c>
      <c r="B8653">
        <v>1959</v>
      </c>
      <c r="C8653">
        <v>766.19217081850525</v>
      </c>
    </row>
    <row r="8654" spans="1:3" x14ac:dyDescent="0.35">
      <c r="A8654" t="s">
        <v>172</v>
      </c>
      <c r="B8654">
        <v>1960</v>
      </c>
      <c r="C8654">
        <v>468.8109161793372</v>
      </c>
    </row>
    <row r="8655" spans="1:3" x14ac:dyDescent="0.35">
      <c r="A8655" t="s">
        <v>172</v>
      </c>
      <c r="B8655">
        <v>1961</v>
      </c>
      <c r="C8655">
        <v>301.33037694013302</v>
      </c>
    </row>
    <row r="8656" spans="1:3" x14ac:dyDescent="0.35">
      <c r="A8656" t="s">
        <v>172</v>
      </c>
      <c r="B8656">
        <v>1962</v>
      </c>
      <c r="C8656">
        <v>330.37694013303769</v>
      </c>
    </row>
    <row r="8657" spans="1:3" x14ac:dyDescent="0.35">
      <c r="A8657" t="s">
        <v>172</v>
      </c>
      <c r="B8657">
        <v>1963</v>
      </c>
      <c r="C8657">
        <v>350</v>
      </c>
    </row>
    <row r="8658" spans="1:3" x14ac:dyDescent="0.35">
      <c r="A8658" t="s">
        <v>172</v>
      </c>
      <c r="B8658">
        <v>1964</v>
      </c>
      <c r="C8658">
        <v>380.89780367002726</v>
      </c>
    </row>
    <row r="8659" spans="1:3" x14ac:dyDescent="0.35">
      <c r="A8659" t="s">
        <v>172</v>
      </c>
      <c r="B8659">
        <v>1965</v>
      </c>
      <c r="C8659">
        <v>422.67699115044246</v>
      </c>
    </row>
    <row r="8660" spans="1:3" x14ac:dyDescent="0.35">
      <c r="A8660" t="s">
        <v>172</v>
      </c>
      <c r="B8660">
        <v>1966</v>
      </c>
      <c r="C8660">
        <v>442.0353982300885</v>
      </c>
    </row>
    <row r="8661" spans="1:3" x14ac:dyDescent="0.35">
      <c r="A8661" t="s">
        <v>172</v>
      </c>
      <c r="B8661">
        <v>1967</v>
      </c>
      <c r="C8661">
        <v>508.40707964601773</v>
      </c>
    </row>
    <row r="8662" spans="1:3" x14ac:dyDescent="0.35">
      <c r="A8662" t="s">
        <v>172</v>
      </c>
      <c r="B8662">
        <v>1968</v>
      </c>
      <c r="C8662">
        <v>570.68584070796464</v>
      </c>
    </row>
    <row r="8663" spans="1:3" x14ac:dyDescent="0.35">
      <c r="A8663" t="s">
        <v>172</v>
      </c>
      <c r="B8663">
        <v>1969</v>
      </c>
      <c r="C8663">
        <v>596.79203539823004</v>
      </c>
    </row>
    <row r="8664" spans="1:3" x14ac:dyDescent="0.35">
      <c r="A8664" t="s">
        <v>172</v>
      </c>
      <c r="B8664">
        <v>1970</v>
      </c>
      <c r="C8664">
        <v>564.85854261376176</v>
      </c>
    </row>
    <row r="8665" spans="1:3" x14ac:dyDescent="0.35">
      <c r="A8665" t="s">
        <v>172</v>
      </c>
      <c r="B8665">
        <v>1971</v>
      </c>
      <c r="C8665">
        <v>570.87315947722084</v>
      </c>
    </row>
    <row r="8666" spans="1:3" x14ac:dyDescent="0.35">
      <c r="A8666" t="s">
        <v>172</v>
      </c>
      <c r="B8666">
        <v>1972</v>
      </c>
      <c r="C8666">
        <v>703.95759717314479</v>
      </c>
    </row>
    <row r="8667" spans="1:3" x14ac:dyDescent="0.35">
      <c r="A8667" t="s">
        <v>172</v>
      </c>
      <c r="B8667">
        <v>1973</v>
      </c>
      <c r="C8667">
        <v>861.62544169611306</v>
      </c>
    </row>
    <row r="8668" spans="1:3" x14ac:dyDescent="0.35">
      <c r="A8668" t="s">
        <v>172</v>
      </c>
      <c r="B8668">
        <v>1974</v>
      </c>
      <c r="C8668">
        <v>1136.7046980347668</v>
      </c>
    </row>
    <row r="8669" spans="1:3" x14ac:dyDescent="0.35">
      <c r="A8669" t="s">
        <v>172</v>
      </c>
      <c r="B8669">
        <v>1975</v>
      </c>
      <c r="C8669">
        <v>2284.9862554614633</v>
      </c>
    </row>
    <row r="8670" spans="1:3" x14ac:dyDescent="0.35">
      <c r="A8670" t="s">
        <v>172</v>
      </c>
      <c r="B8670">
        <v>1976</v>
      </c>
      <c r="C8670">
        <v>2534.7752147560282</v>
      </c>
    </row>
    <row r="8671" spans="1:3" x14ac:dyDescent="0.35">
      <c r="A8671" t="s">
        <v>172</v>
      </c>
      <c r="B8671">
        <v>1977</v>
      </c>
      <c r="C8671">
        <v>2765.7730721800672</v>
      </c>
    </row>
    <row r="8672" spans="1:3" x14ac:dyDescent="0.35">
      <c r="A8672" t="s">
        <v>172</v>
      </c>
      <c r="B8672">
        <v>1978</v>
      </c>
      <c r="C8672">
        <v>2727.8829760071162</v>
      </c>
    </row>
    <row r="8673" spans="1:3" x14ac:dyDescent="0.35">
      <c r="A8673" t="s">
        <v>172</v>
      </c>
      <c r="B8673">
        <v>1979</v>
      </c>
      <c r="C8673">
        <v>3001.1423055265059</v>
      </c>
    </row>
    <row r="8674" spans="1:3" x14ac:dyDescent="0.35">
      <c r="A8674" t="s">
        <v>172</v>
      </c>
      <c r="B8674">
        <v>1980</v>
      </c>
      <c r="C8674">
        <v>2671.9762855726276</v>
      </c>
    </row>
    <row r="8675" spans="1:3" x14ac:dyDescent="0.35">
      <c r="A8675" t="s">
        <v>172</v>
      </c>
      <c r="B8675">
        <v>1981</v>
      </c>
      <c r="C8675">
        <v>2814.8697614616208</v>
      </c>
    </row>
    <row r="8676" spans="1:3" x14ac:dyDescent="0.35">
      <c r="A8676" t="s">
        <v>172</v>
      </c>
      <c r="B8676">
        <v>1982</v>
      </c>
      <c r="C8676">
        <v>2754.7323026951212</v>
      </c>
    </row>
    <row r="8677" spans="1:3" x14ac:dyDescent="0.35">
      <c r="A8677" t="s">
        <v>172</v>
      </c>
      <c r="B8677">
        <v>1983</v>
      </c>
      <c r="C8677">
        <v>2469.3755350244169</v>
      </c>
    </row>
    <row r="8678" spans="1:3" x14ac:dyDescent="0.35">
      <c r="A8678" t="s">
        <v>172</v>
      </c>
      <c r="B8678">
        <v>1984</v>
      </c>
      <c r="C8678">
        <v>2190.0523074741327</v>
      </c>
    </row>
    <row r="8679" spans="1:3" x14ac:dyDescent="0.35">
      <c r="A8679" t="s">
        <v>172</v>
      </c>
      <c r="B8679">
        <v>1985</v>
      </c>
      <c r="C8679">
        <v>2365.9774360467682</v>
      </c>
    </row>
    <row r="8680" spans="1:3" x14ac:dyDescent="0.35">
      <c r="A8680" t="s">
        <v>172</v>
      </c>
      <c r="B8680">
        <v>1986</v>
      </c>
      <c r="C8680">
        <v>2769.4095879687834</v>
      </c>
    </row>
    <row r="8681" spans="1:3" x14ac:dyDescent="0.35">
      <c r="A8681" t="s">
        <v>172</v>
      </c>
      <c r="B8681">
        <v>1987</v>
      </c>
      <c r="C8681">
        <v>2889.5934970730764</v>
      </c>
    </row>
    <row r="8682" spans="1:3" x14ac:dyDescent="0.35">
      <c r="A8682" t="s">
        <v>172</v>
      </c>
      <c r="B8682">
        <v>1988</v>
      </c>
      <c r="C8682">
        <v>2663.901290118466</v>
      </c>
    </row>
    <row r="8683" spans="1:3" x14ac:dyDescent="0.35">
      <c r="A8683" t="s">
        <v>172</v>
      </c>
      <c r="B8683">
        <v>1989</v>
      </c>
      <c r="C8683">
        <v>3373.7415632894686</v>
      </c>
    </row>
    <row r="8684" spans="1:3" x14ac:dyDescent="0.35">
      <c r="A8684" t="s">
        <v>172</v>
      </c>
      <c r="B8684">
        <v>1990</v>
      </c>
      <c r="C8684">
        <v>5315.4133954857698</v>
      </c>
    </row>
    <row r="8685" spans="1:3" x14ac:dyDescent="0.35">
      <c r="A8685" t="s">
        <v>172</v>
      </c>
      <c r="B8685">
        <v>1991</v>
      </c>
      <c r="C8685">
        <v>5670.6665196484992</v>
      </c>
    </row>
    <row r="8686" spans="1:3" x14ac:dyDescent="0.35">
      <c r="A8686" t="s">
        <v>172</v>
      </c>
      <c r="B8686">
        <v>1992</v>
      </c>
      <c r="C8686">
        <v>6157.9472733040184</v>
      </c>
    </row>
    <row r="8687" spans="1:3" x14ac:dyDescent="0.35">
      <c r="A8687" t="s">
        <v>172</v>
      </c>
      <c r="B8687">
        <v>1993</v>
      </c>
      <c r="C8687">
        <v>7075.0869398976747</v>
      </c>
    </row>
    <row r="8688" spans="1:3" x14ac:dyDescent="0.35">
      <c r="A8688" t="s">
        <v>172</v>
      </c>
      <c r="B8688">
        <v>1994</v>
      </c>
      <c r="C8688">
        <v>5293.1739657600629</v>
      </c>
    </row>
    <row r="8689" spans="1:3" x14ac:dyDescent="0.35">
      <c r="A8689" t="s">
        <v>172</v>
      </c>
      <c r="B8689">
        <v>1995</v>
      </c>
      <c r="C8689">
        <v>6606.2458147108409</v>
      </c>
    </row>
    <row r="8690" spans="1:3" x14ac:dyDescent="0.35">
      <c r="A8690" t="s">
        <v>172</v>
      </c>
      <c r="B8690">
        <v>1996</v>
      </c>
      <c r="C8690">
        <v>7512.0907955172233</v>
      </c>
    </row>
    <row r="8691" spans="1:3" x14ac:dyDescent="0.35">
      <c r="A8691" t="s">
        <v>172</v>
      </c>
      <c r="B8691">
        <v>1997</v>
      </c>
      <c r="C8691">
        <v>7791.9863036249308</v>
      </c>
    </row>
    <row r="8692" spans="1:3" x14ac:dyDescent="0.35">
      <c r="A8692" t="s">
        <v>172</v>
      </c>
      <c r="B8692">
        <v>1998</v>
      </c>
      <c r="C8692">
        <v>8781.0481582056127</v>
      </c>
    </row>
    <row r="8693" spans="1:3" x14ac:dyDescent="0.35">
      <c r="A8693" t="s">
        <v>172</v>
      </c>
      <c r="B8693">
        <v>1999</v>
      </c>
      <c r="C8693">
        <v>9951.7888739514274</v>
      </c>
    </row>
    <row r="8694" spans="1:3" x14ac:dyDescent="0.35">
      <c r="A8694" t="s">
        <v>172</v>
      </c>
      <c r="B8694">
        <v>2000</v>
      </c>
      <c r="C8694">
        <v>9993.7301969389937</v>
      </c>
    </row>
    <row r="8695" spans="1:3" x14ac:dyDescent="0.35">
      <c r="A8695" t="s">
        <v>172</v>
      </c>
      <c r="B8695">
        <v>2001</v>
      </c>
      <c r="C8695">
        <v>7216.0510448029117</v>
      </c>
    </row>
    <row r="8696" spans="1:3" x14ac:dyDescent="0.35">
      <c r="A8696" t="s">
        <v>172</v>
      </c>
      <c r="B8696">
        <v>2002</v>
      </c>
      <c r="C8696">
        <v>9050.3771819828416</v>
      </c>
    </row>
    <row r="8697" spans="1:3" x14ac:dyDescent="0.35">
      <c r="A8697" t="s">
        <v>172</v>
      </c>
      <c r="B8697">
        <v>2003</v>
      </c>
      <c r="C8697">
        <v>10277.901778278221</v>
      </c>
    </row>
    <row r="8698" spans="1:3" x14ac:dyDescent="0.35">
      <c r="A8698" t="s">
        <v>172</v>
      </c>
      <c r="B8698">
        <v>2004</v>
      </c>
      <c r="C8698">
        <v>10920.773882177982</v>
      </c>
    </row>
    <row r="8699" spans="1:3" x14ac:dyDescent="0.35">
      <c r="A8699" t="s">
        <v>172</v>
      </c>
      <c r="B8699">
        <v>2005</v>
      </c>
      <c r="C8699">
        <v>12081.156313728992</v>
      </c>
    </row>
    <row r="8700" spans="1:3" x14ac:dyDescent="0.35">
      <c r="A8700" t="s">
        <v>172</v>
      </c>
      <c r="B8700">
        <v>2006</v>
      </c>
      <c r="C8700">
        <v>13036.508103188771</v>
      </c>
    </row>
    <row r="8701" spans="1:3" x14ac:dyDescent="0.35">
      <c r="A8701" t="s">
        <v>172</v>
      </c>
      <c r="B8701">
        <v>2007</v>
      </c>
      <c r="C8701">
        <v>14987.758360003992</v>
      </c>
    </row>
    <row r="8702" spans="1:3" x14ac:dyDescent="0.35">
      <c r="A8702" t="s">
        <v>172</v>
      </c>
      <c r="B8702">
        <v>2008</v>
      </c>
      <c r="C8702">
        <v>16809.576495174872</v>
      </c>
    </row>
    <row r="8703" spans="1:3" x14ac:dyDescent="0.35">
      <c r="A8703" t="s">
        <v>172</v>
      </c>
      <c r="B8703">
        <v>2009</v>
      </c>
      <c r="C8703">
        <v>16047.510903507187</v>
      </c>
    </row>
    <row r="8704" spans="1:3" x14ac:dyDescent="0.35">
      <c r="A8704" t="s">
        <v>172</v>
      </c>
      <c r="B8704">
        <v>2010</v>
      </c>
      <c r="C8704">
        <v>17650.464118175463</v>
      </c>
    </row>
    <row r="8705" spans="1:3" x14ac:dyDescent="0.35">
      <c r="A8705" t="s">
        <v>172</v>
      </c>
      <c r="B8705">
        <v>2011</v>
      </c>
      <c r="C8705">
        <v>17006.477805307622</v>
      </c>
    </row>
    <row r="8706" spans="1:3" x14ac:dyDescent="0.35">
      <c r="A8706" t="s">
        <v>172</v>
      </c>
      <c r="B8706">
        <v>2012</v>
      </c>
      <c r="C8706">
        <v>17694.320712694876</v>
      </c>
    </row>
    <row r="8707" spans="1:3" x14ac:dyDescent="0.35">
      <c r="A8707" t="s">
        <v>172</v>
      </c>
      <c r="B8707">
        <v>2013</v>
      </c>
      <c r="C8707">
        <v>18427.646196756963</v>
      </c>
    </row>
    <row r="8708" spans="1:3" x14ac:dyDescent="0.35">
      <c r="A8708" t="s">
        <v>172</v>
      </c>
      <c r="B8708">
        <v>2014</v>
      </c>
      <c r="C8708">
        <v>17576.538470505897</v>
      </c>
    </row>
    <row r="8709" spans="1:3" x14ac:dyDescent="0.35">
      <c r="A8709" t="s">
        <v>172</v>
      </c>
      <c r="B8709">
        <v>2015</v>
      </c>
      <c r="C8709">
        <v>15668.749999999998</v>
      </c>
    </row>
    <row r="8710" spans="1:3" x14ac:dyDescent="0.35">
      <c r="A8710" t="s">
        <v>172</v>
      </c>
      <c r="B8710">
        <v>2016</v>
      </c>
      <c r="C8710">
        <v>17831.323597143626</v>
      </c>
    </row>
    <row r="8711" spans="1:3" x14ac:dyDescent="0.35">
      <c r="A8711" t="s">
        <v>172</v>
      </c>
      <c r="B8711">
        <v>2017</v>
      </c>
      <c r="C8711">
        <v>17609.831226300237</v>
      </c>
    </row>
    <row r="8712" spans="1:3" x14ac:dyDescent="0.35">
      <c r="A8712" t="s">
        <v>172</v>
      </c>
      <c r="B8712">
        <v>2018</v>
      </c>
      <c r="C8712">
        <v>19646.38109918412</v>
      </c>
    </row>
    <row r="8713" spans="1:3" x14ac:dyDescent="0.35">
      <c r="A8713" t="s">
        <v>172</v>
      </c>
      <c r="B8713">
        <v>2019</v>
      </c>
      <c r="C8713">
        <v>20469.985680954014</v>
      </c>
    </row>
    <row r="8714" spans="1:3" x14ac:dyDescent="0.35">
      <c r="A8714" t="s">
        <v>172</v>
      </c>
      <c r="B8714">
        <v>2020</v>
      </c>
      <c r="C8714">
        <v>15815.406712034832</v>
      </c>
    </row>
    <row r="8715" spans="1:3" x14ac:dyDescent="0.35">
      <c r="A8715" t="s">
        <v>172</v>
      </c>
      <c r="B8715">
        <v>2021</v>
      </c>
      <c r="C8715">
        <v>15240.338328718564</v>
      </c>
    </row>
    <row r="8716" spans="1:3" x14ac:dyDescent="0.35">
      <c r="A8716" t="s">
        <v>172</v>
      </c>
      <c r="B8716">
        <v>2022</v>
      </c>
      <c r="C8716">
        <v>15047.270052334325</v>
      </c>
    </row>
    <row r="8717" spans="1:3" x14ac:dyDescent="0.35">
      <c r="A8717" t="s">
        <v>172</v>
      </c>
      <c r="B8717">
        <v>2023</v>
      </c>
      <c r="C8717">
        <v>19233.041584176848</v>
      </c>
    </row>
    <row r="8718" spans="1:3" x14ac:dyDescent="0.35">
      <c r="A8718" t="s">
        <v>172</v>
      </c>
      <c r="B8718">
        <v>2024</v>
      </c>
      <c r="C8718">
        <v>25012.152848366193</v>
      </c>
    </row>
    <row r="8719" spans="1:3" x14ac:dyDescent="0.35">
      <c r="A8719" t="s">
        <v>172</v>
      </c>
      <c r="B8719">
        <v>2025</v>
      </c>
      <c r="C8719">
        <v>29986.711540600787</v>
      </c>
    </row>
    <row r="8720" spans="1:3" x14ac:dyDescent="0.35">
      <c r="A8720" t="s">
        <v>173</v>
      </c>
      <c r="B8720">
        <v>1997</v>
      </c>
      <c r="C8720">
        <v>3335.766741484887</v>
      </c>
    </row>
    <row r="8721" spans="1:3" x14ac:dyDescent="0.35">
      <c r="A8721" t="s">
        <v>173</v>
      </c>
      <c r="B8721">
        <v>1998</v>
      </c>
      <c r="C8721">
        <v>4010.3471749489449</v>
      </c>
    </row>
    <row r="8722" spans="1:3" x14ac:dyDescent="0.35">
      <c r="A8722" t="s">
        <v>173</v>
      </c>
      <c r="B8722">
        <v>1999</v>
      </c>
      <c r="C8722">
        <v>4233.0837304288634</v>
      </c>
    </row>
    <row r="8723" spans="1:3" x14ac:dyDescent="0.35">
      <c r="A8723" t="s">
        <v>173</v>
      </c>
      <c r="B8723">
        <v>2000</v>
      </c>
      <c r="C8723">
        <v>5875.8339006126625</v>
      </c>
    </row>
    <row r="8724" spans="1:3" x14ac:dyDescent="0.35">
      <c r="A8724" t="s">
        <v>173</v>
      </c>
      <c r="B8724">
        <v>2001</v>
      </c>
      <c r="C8724">
        <v>5797.9577944179719</v>
      </c>
    </row>
    <row r="8725" spans="1:3" x14ac:dyDescent="0.35">
      <c r="A8725" t="s">
        <v>173</v>
      </c>
      <c r="B8725">
        <v>2002</v>
      </c>
      <c r="C8725">
        <v>5354.1184479237572</v>
      </c>
    </row>
    <row r="8726" spans="1:3" x14ac:dyDescent="0.35">
      <c r="A8726" t="s">
        <v>173</v>
      </c>
      <c r="B8726">
        <v>2003</v>
      </c>
      <c r="C8726">
        <v>5834.7174948944867</v>
      </c>
    </row>
    <row r="8727" spans="1:3" x14ac:dyDescent="0.35">
      <c r="A8727" t="s">
        <v>173</v>
      </c>
      <c r="B8727">
        <v>2004</v>
      </c>
      <c r="C8727">
        <v>6816.8822328114366</v>
      </c>
    </row>
    <row r="8728" spans="1:3" x14ac:dyDescent="0.35">
      <c r="A8728" t="s">
        <v>173</v>
      </c>
      <c r="B8728">
        <v>2005</v>
      </c>
      <c r="C8728">
        <v>6604.2205582028591</v>
      </c>
    </row>
    <row r="8729" spans="1:3" x14ac:dyDescent="0.35">
      <c r="A8729" t="s">
        <v>173</v>
      </c>
      <c r="B8729">
        <v>2006</v>
      </c>
      <c r="C8729">
        <v>7165.4186521443153</v>
      </c>
    </row>
    <row r="8730" spans="1:3" x14ac:dyDescent="0.35">
      <c r="A8730" t="s">
        <v>173</v>
      </c>
      <c r="B8730">
        <v>2007</v>
      </c>
      <c r="C8730">
        <v>8460.9938733832532</v>
      </c>
    </row>
    <row r="8731" spans="1:3" x14ac:dyDescent="0.35">
      <c r="A8731" t="s">
        <v>173</v>
      </c>
      <c r="B8731">
        <v>2008</v>
      </c>
      <c r="C8731">
        <v>11571.681415929203</v>
      </c>
    </row>
    <row r="8732" spans="1:3" x14ac:dyDescent="0.35">
      <c r="A8732" t="s">
        <v>173</v>
      </c>
      <c r="B8732">
        <v>2009</v>
      </c>
      <c r="C8732">
        <v>13836.35125936011</v>
      </c>
    </row>
    <row r="8733" spans="1:3" x14ac:dyDescent="0.35">
      <c r="A8733" t="s">
        <v>173</v>
      </c>
      <c r="B8733">
        <v>2010</v>
      </c>
      <c r="C8733">
        <v>17504.697072838666</v>
      </c>
    </row>
    <row r="8734" spans="1:3" x14ac:dyDescent="0.35">
      <c r="A8734" t="s">
        <v>173</v>
      </c>
      <c r="B8734">
        <v>2011</v>
      </c>
      <c r="C8734">
        <v>19181.756296800544</v>
      </c>
    </row>
    <row r="8735" spans="1:3" x14ac:dyDescent="0.35">
      <c r="A8735" t="s">
        <v>173</v>
      </c>
      <c r="B8735">
        <v>2012</v>
      </c>
      <c r="C8735">
        <v>19024.098025867937</v>
      </c>
    </row>
    <row r="8736" spans="1:3" x14ac:dyDescent="0.35">
      <c r="A8736" t="s">
        <v>173</v>
      </c>
      <c r="B8736">
        <v>2013</v>
      </c>
      <c r="C8736">
        <v>23561.061946902657</v>
      </c>
    </row>
    <row r="8737" spans="1:3" x14ac:dyDescent="0.35">
      <c r="A8737" t="s">
        <v>173</v>
      </c>
      <c r="B8737">
        <v>2014</v>
      </c>
      <c r="C8737">
        <v>22755.071477195375</v>
      </c>
    </row>
    <row r="8738" spans="1:3" x14ac:dyDescent="0.35">
      <c r="A8738" t="s">
        <v>174</v>
      </c>
      <c r="B8738">
        <v>1990</v>
      </c>
      <c r="C8738">
        <v>807.07071548113674</v>
      </c>
    </row>
    <row r="8739" spans="1:3" x14ac:dyDescent="0.35">
      <c r="A8739" t="s">
        <v>174</v>
      </c>
      <c r="B8739">
        <v>1991</v>
      </c>
      <c r="C8739">
        <v>1028.2179165868727</v>
      </c>
    </row>
    <row r="8740" spans="1:3" x14ac:dyDescent="0.35">
      <c r="A8740" t="s">
        <v>174</v>
      </c>
      <c r="B8740">
        <v>1992</v>
      </c>
      <c r="C8740">
        <v>1306.9000258116087</v>
      </c>
    </row>
    <row r="8741" spans="1:3" x14ac:dyDescent="0.35">
      <c r="A8741" t="s">
        <v>174</v>
      </c>
      <c r="B8741">
        <v>1993</v>
      </c>
      <c r="C8741">
        <v>1535.4576564724691</v>
      </c>
    </row>
    <row r="8742" spans="1:3" x14ac:dyDescent="0.35">
      <c r="A8742" t="s">
        <v>174</v>
      </c>
      <c r="B8742">
        <v>1994</v>
      </c>
      <c r="C8742">
        <v>2353.2693316458649</v>
      </c>
    </row>
    <row r="8743" spans="1:3" x14ac:dyDescent="0.35">
      <c r="A8743" t="s">
        <v>174</v>
      </c>
      <c r="B8743">
        <v>1995</v>
      </c>
      <c r="C8743">
        <v>805.89237791141841</v>
      </c>
    </row>
    <row r="8744" spans="1:3" x14ac:dyDescent="0.35">
      <c r="A8744" t="s">
        <v>174</v>
      </c>
      <c r="B8744">
        <v>1996</v>
      </c>
      <c r="C8744">
        <v>416.00863241808599</v>
      </c>
    </row>
    <row r="8745" spans="1:3" x14ac:dyDescent="0.35">
      <c r="A8745" t="s">
        <v>174</v>
      </c>
      <c r="B8745">
        <v>1997</v>
      </c>
      <c r="C8745">
        <v>397.07304244243159</v>
      </c>
    </row>
    <row r="8746" spans="1:3" x14ac:dyDescent="0.35">
      <c r="A8746" t="s">
        <v>174</v>
      </c>
      <c r="B8746">
        <v>1998</v>
      </c>
      <c r="C8746">
        <v>384.50273031012199</v>
      </c>
    </row>
    <row r="8747" spans="1:3" x14ac:dyDescent="0.35">
      <c r="A8747" t="s">
        <v>174</v>
      </c>
      <c r="B8747">
        <v>1999</v>
      </c>
      <c r="C8747">
        <v>395.2529572689092</v>
      </c>
    </row>
    <row r="8748" spans="1:3" x14ac:dyDescent="0.35">
      <c r="A8748" t="s">
        <v>174</v>
      </c>
      <c r="B8748">
        <v>2000</v>
      </c>
      <c r="C8748">
        <v>473.66403245155152</v>
      </c>
    </row>
    <row r="8749" spans="1:3" x14ac:dyDescent="0.35">
      <c r="A8749" t="s">
        <v>174</v>
      </c>
      <c r="B8749">
        <v>2001</v>
      </c>
      <c r="C8749">
        <v>540.10149876683749</v>
      </c>
    </row>
    <row r="8750" spans="1:3" x14ac:dyDescent="0.35">
      <c r="A8750" t="s">
        <v>174</v>
      </c>
      <c r="B8750">
        <v>2002</v>
      </c>
      <c r="C8750">
        <v>737.36654804270461</v>
      </c>
    </row>
    <row r="8751" spans="1:3" x14ac:dyDescent="0.35">
      <c r="A8751" t="s">
        <v>174</v>
      </c>
      <c r="B8751">
        <v>2003</v>
      </c>
      <c r="C8751">
        <v>807.31324408006617</v>
      </c>
    </row>
    <row r="8752" spans="1:3" x14ac:dyDescent="0.35">
      <c r="A8752" t="s">
        <v>174</v>
      </c>
      <c r="B8752">
        <v>2004</v>
      </c>
      <c r="C8752">
        <v>735.48512793869327</v>
      </c>
    </row>
    <row r="8753" spans="1:3" x14ac:dyDescent="0.35">
      <c r="A8753" t="s">
        <v>174</v>
      </c>
      <c r="B8753">
        <v>2005</v>
      </c>
      <c r="C8753">
        <v>815.62746398341596</v>
      </c>
    </row>
    <row r="8754" spans="1:3" x14ac:dyDescent="0.35">
      <c r="A8754" t="s">
        <v>174</v>
      </c>
      <c r="B8754">
        <v>2006</v>
      </c>
      <c r="C8754">
        <v>822.13053605955872</v>
      </c>
    </row>
    <row r="8755" spans="1:3" x14ac:dyDescent="0.35">
      <c r="A8755" t="s">
        <v>174</v>
      </c>
      <c r="B8755">
        <v>2007</v>
      </c>
      <c r="C8755">
        <v>1050.4993641714375</v>
      </c>
    </row>
    <row r="8756" spans="1:3" x14ac:dyDescent="0.35">
      <c r="A8756" t="s">
        <v>174</v>
      </c>
      <c r="B8756">
        <v>2008</v>
      </c>
      <c r="C8756">
        <v>1196.4117658837429</v>
      </c>
    </row>
    <row r="8757" spans="1:3" x14ac:dyDescent="0.35">
      <c r="A8757" t="s">
        <v>174</v>
      </c>
      <c r="B8757">
        <v>2009</v>
      </c>
      <c r="C8757">
        <v>1420.7752641153184</v>
      </c>
    </row>
    <row r="8758" spans="1:3" x14ac:dyDescent="0.35">
      <c r="A8758" t="s">
        <v>174</v>
      </c>
      <c r="B8758">
        <v>2010</v>
      </c>
      <c r="C8758">
        <v>1448.1533767475751</v>
      </c>
    </row>
    <row r="8759" spans="1:3" x14ac:dyDescent="0.35">
      <c r="A8759" t="s">
        <v>174</v>
      </c>
      <c r="B8759">
        <v>2011</v>
      </c>
      <c r="C8759">
        <v>1612.2544434050515</v>
      </c>
    </row>
    <row r="8760" spans="1:3" x14ac:dyDescent="0.35">
      <c r="A8760" t="s">
        <v>174</v>
      </c>
      <c r="B8760">
        <v>2012</v>
      </c>
      <c r="C8760">
        <v>1618.8401267080628</v>
      </c>
    </row>
    <row r="8761" spans="1:3" x14ac:dyDescent="0.35">
      <c r="A8761" t="s">
        <v>174</v>
      </c>
      <c r="B8761">
        <v>2013</v>
      </c>
      <c r="C8761">
        <v>1648.7505235236633</v>
      </c>
    </row>
    <row r="8762" spans="1:3" x14ac:dyDescent="0.35">
      <c r="A8762" t="s">
        <v>174</v>
      </c>
      <c r="B8762">
        <v>2014</v>
      </c>
      <c r="C8762">
        <v>1714.8308436874681</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93BABE-012F-452A-A1C9-A15099EF253E}">
  <dimension ref="A3:B14"/>
  <sheetViews>
    <sheetView workbookViewId="0">
      <selection activeCell="D3" sqref="D3"/>
    </sheetView>
  </sheetViews>
  <sheetFormatPr defaultRowHeight="14.5" x14ac:dyDescent="0.35"/>
  <cols>
    <col min="1" max="1" width="21.54296875" bestFit="1" customWidth="1"/>
    <col min="2" max="2" width="24.453125" bestFit="1" customWidth="1"/>
  </cols>
  <sheetData>
    <row r="3" spans="1:2" x14ac:dyDescent="0.35">
      <c r="A3" s="1" t="s">
        <v>177</v>
      </c>
      <c r="B3" t="s">
        <v>179</v>
      </c>
    </row>
    <row r="4" spans="1:2" x14ac:dyDescent="0.35">
      <c r="A4" s="2" t="s">
        <v>68</v>
      </c>
      <c r="B4" s="3">
        <v>24771447.192398503</v>
      </c>
    </row>
    <row r="5" spans="1:2" x14ac:dyDescent="0.35">
      <c r="A5" s="2" t="s">
        <v>90</v>
      </c>
      <c r="B5" s="3">
        <v>4207487.9537360948</v>
      </c>
    </row>
    <row r="6" spans="1:2" x14ac:dyDescent="0.35">
      <c r="A6" s="2" t="s">
        <v>158</v>
      </c>
      <c r="B6" s="3">
        <v>2553523.8698949721</v>
      </c>
    </row>
    <row r="7" spans="1:2" x14ac:dyDescent="0.35">
      <c r="A7" s="2" t="s">
        <v>144</v>
      </c>
      <c r="B7" s="3">
        <v>2049338.8822624106</v>
      </c>
    </row>
    <row r="8" spans="1:2" x14ac:dyDescent="0.35">
      <c r="A8" s="2" t="s">
        <v>145</v>
      </c>
      <c r="B8" s="3">
        <v>2011290.9735431075</v>
      </c>
    </row>
    <row r="9" spans="1:2" x14ac:dyDescent="0.35">
      <c r="A9" s="2" t="s">
        <v>91</v>
      </c>
      <c r="B9" s="3">
        <v>1879819.7335449487</v>
      </c>
    </row>
    <row r="10" spans="1:2" x14ac:dyDescent="0.35">
      <c r="A10" s="2" t="s">
        <v>136</v>
      </c>
      <c r="B10" s="3">
        <v>1761845.6917850687</v>
      </c>
    </row>
    <row r="11" spans="1:2" x14ac:dyDescent="0.35">
      <c r="A11" s="2" t="s">
        <v>170</v>
      </c>
      <c r="B11" s="3">
        <v>1754380.5015239776</v>
      </c>
    </row>
    <row r="12" spans="1:2" x14ac:dyDescent="0.35">
      <c r="A12" s="2" t="s">
        <v>86</v>
      </c>
      <c r="B12" s="3">
        <v>1498226.2518580921</v>
      </c>
    </row>
    <row r="13" spans="1:2" x14ac:dyDescent="0.35">
      <c r="A13" s="2" t="s">
        <v>149</v>
      </c>
      <c r="B13" s="3">
        <v>1155748.7162542182</v>
      </c>
    </row>
    <row r="14" spans="1:2" x14ac:dyDescent="0.35">
      <c r="A14" s="2" t="s">
        <v>178</v>
      </c>
      <c r="B14" s="3">
        <v>43643109.766801402</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F76C53-9718-4669-B818-BC72D31A7B7B}">
  <dimension ref="A1:B79"/>
  <sheetViews>
    <sheetView workbookViewId="0">
      <selection activeCell="D21" sqref="D21"/>
    </sheetView>
  </sheetViews>
  <sheetFormatPr defaultRowHeight="14.5" x14ac:dyDescent="0.35"/>
  <cols>
    <col min="1" max="1" width="12.36328125" bestFit="1" customWidth="1"/>
    <col min="2" max="2" width="24.453125" bestFit="1" customWidth="1"/>
  </cols>
  <sheetData>
    <row r="1" spans="1:2" x14ac:dyDescent="0.35">
      <c r="A1" s="1" t="s">
        <v>177</v>
      </c>
      <c r="B1" t="s">
        <v>179</v>
      </c>
    </row>
    <row r="2" spans="1:2" x14ac:dyDescent="0.35">
      <c r="A2" s="2">
        <v>1949</v>
      </c>
      <c r="B2" s="3">
        <v>17086.075208099952</v>
      </c>
    </row>
    <row r="3" spans="1:2" x14ac:dyDescent="0.35">
      <c r="A3" s="2">
        <v>1950</v>
      </c>
      <c r="B3" s="3">
        <v>21277.736153188387</v>
      </c>
    </row>
    <row r="4" spans="1:2" x14ac:dyDescent="0.35">
      <c r="A4" s="2">
        <v>1951</v>
      </c>
      <c r="B4" s="3">
        <v>44830.6010415739</v>
      </c>
    </row>
    <row r="5" spans="1:2" x14ac:dyDescent="0.35">
      <c r="A5" s="2">
        <v>1952</v>
      </c>
      <c r="B5" s="3">
        <v>64510.963176740857</v>
      </c>
    </row>
    <row r="6" spans="1:2" x14ac:dyDescent="0.35">
      <c r="A6" s="2">
        <v>1953</v>
      </c>
      <c r="B6" s="3">
        <v>69941.797150749248</v>
      </c>
    </row>
    <row r="7" spans="1:2" x14ac:dyDescent="0.35">
      <c r="A7" s="2">
        <v>1954</v>
      </c>
      <c r="B7" s="3">
        <v>62517.427739383544</v>
      </c>
    </row>
    <row r="8" spans="1:2" x14ac:dyDescent="0.35">
      <c r="A8" s="2">
        <v>1955</v>
      </c>
      <c r="B8" s="3">
        <v>60644.101559101808</v>
      </c>
    </row>
    <row r="9" spans="1:2" x14ac:dyDescent="0.35">
      <c r="A9" s="2">
        <v>1956</v>
      </c>
      <c r="B9" s="3">
        <v>63897.758643037378</v>
      </c>
    </row>
    <row r="10" spans="1:2" x14ac:dyDescent="0.35">
      <c r="A10" s="2">
        <v>1957</v>
      </c>
      <c r="B10" s="3">
        <v>68987.68487510283</v>
      </c>
    </row>
    <row r="11" spans="1:2" x14ac:dyDescent="0.35">
      <c r="A11" s="2">
        <v>1958</v>
      </c>
      <c r="B11" s="3">
        <v>69763.963947004289</v>
      </c>
    </row>
    <row r="12" spans="1:2" x14ac:dyDescent="0.35">
      <c r="A12" s="2">
        <v>1959</v>
      </c>
      <c r="B12" s="3">
        <v>71979.831151112783</v>
      </c>
    </row>
    <row r="13" spans="1:2" x14ac:dyDescent="0.35">
      <c r="A13" s="2">
        <v>1960</v>
      </c>
      <c r="B13" s="3">
        <v>73005.784746845355</v>
      </c>
    </row>
    <row r="14" spans="1:2" x14ac:dyDescent="0.35">
      <c r="A14" s="2">
        <v>1961</v>
      </c>
      <c r="B14" s="3">
        <v>76909.99972067248</v>
      </c>
    </row>
    <row r="15" spans="1:2" x14ac:dyDescent="0.35">
      <c r="A15" s="2">
        <v>1962</v>
      </c>
      <c r="B15" s="3">
        <v>85660.550909324913</v>
      </c>
    </row>
    <row r="16" spans="1:2" x14ac:dyDescent="0.35">
      <c r="A16" s="2">
        <v>1963</v>
      </c>
      <c r="B16" s="3">
        <v>88752.450032758119</v>
      </c>
    </row>
    <row r="17" spans="1:2" x14ac:dyDescent="0.35">
      <c r="A17" s="2">
        <v>1964</v>
      </c>
      <c r="B17" s="3">
        <v>89860.102984714147</v>
      </c>
    </row>
    <row r="18" spans="1:2" x14ac:dyDescent="0.35">
      <c r="A18" s="2">
        <v>1965</v>
      </c>
      <c r="B18" s="3">
        <v>93662.451587648146</v>
      </c>
    </row>
    <row r="19" spans="1:2" x14ac:dyDescent="0.35">
      <c r="A19" s="2">
        <v>1966</v>
      </c>
      <c r="B19" s="3">
        <v>107748.77240771716</v>
      </c>
    </row>
    <row r="20" spans="1:2" x14ac:dyDescent="0.35">
      <c r="A20" s="2">
        <v>1967</v>
      </c>
      <c r="B20" s="3">
        <v>122453.25349304518</v>
      </c>
    </row>
    <row r="21" spans="1:2" x14ac:dyDescent="0.35">
      <c r="A21" s="2">
        <v>1968</v>
      </c>
      <c r="B21" s="3">
        <v>130329.40960685423</v>
      </c>
    </row>
    <row r="22" spans="1:2" x14ac:dyDescent="0.35">
      <c r="A22" s="2">
        <v>1969</v>
      </c>
      <c r="B22" s="3">
        <v>134667.1074298973</v>
      </c>
    </row>
    <row r="23" spans="1:2" x14ac:dyDescent="0.35">
      <c r="A23" s="2">
        <v>1970</v>
      </c>
      <c r="B23" s="3">
        <v>138076.90773256062</v>
      </c>
    </row>
    <row r="24" spans="1:2" x14ac:dyDescent="0.35">
      <c r="A24" s="2">
        <v>1971</v>
      </c>
      <c r="B24" s="3">
        <v>139334.43338479529</v>
      </c>
    </row>
    <row r="25" spans="1:2" x14ac:dyDescent="0.35">
      <c r="A25" s="2">
        <v>1972</v>
      </c>
      <c r="B25" s="3">
        <v>151389.08250481053</v>
      </c>
    </row>
    <row r="26" spans="1:2" x14ac:dyDescent="0.35">
      <c r="A26" s="2">
        <v>1973</v>
      </c>
      <c r="B26" s="3">
        <v>166556.16659292387</v>
      </c>
    </row>
    <row r="27" spans="1:2" x14ac:dyDescent="0.35">
      <c r="A27" s="2">
        <v>1974</v>
      </c>
      <c r="B27" s="3">
        <v>191972.26095374458</v>
      </c>
    </row>
    <row r="28" spans="1:2" x14ac:dyDescent="0.35">
      <c r="A28" s="2">
        <v>1975</v>
      </c>
      <c r="B28" s="3">
        <v>213040.46387412693</v>
      </c>
    </row>
    <row r="29" spans="1:2" x14ac:dyDescent="0.35">
      <c r="A29" s="2">
        <v>1976</v>
      </c>
      <c r="B29" s="3">
        <v>224378.07540646283</v>
      </c>
    </row>
    <row r="30" spans="1:2" x14ac:dyDescent="0.35">
      <c r="A30" s="2">
        <v>1977</v>
      </c>
      <c r="B30" s="3">
        <v>262042.85385006538</v>
      </c>
    </row>
    <row r="31" spans="1:2" x14ac:dyDescent="0.35">
      <c r="A31" s="2">
        <v>1978</v>
      </c>
      <c r="B31" s="3">
        <v>288640.12070643716</v>
      </c>
    </row>
    <row r="32" spans="1:2" x14ac:dyDescent="0.35">
      <c r="A32" s="2">
        <v>1979</v>
      </c>
      <c r="B32" s="3">
        <v>318982.03466425219</v>
      </c>
    </row>
    <row r="33" spans="1:2" x14ac:dyDescent="0.35">
      <c r="A33" s="2">
        <v>1980</v>
      </c>
      <c r="B33" s="3">
        <v>365992.62179352593</v>
      </c>
    </row>
    <row r="34" spans="1:2" x14ac:dyDescent="0.35">
      <c r="A34" s="2">
        <v>1981</v>
      </c>
      <c r="B34" s="3">
        <v>403765.49201033538</v>
      </c>
    </row>
    <row r="35" spans="1:2" x14ac:dyDescent="0.35">
      <c r="A35" s="2">
        <v>1982</v>
      </c>
      <c r="B35" s="3">
        <v>447929.12311984424</v>
      </c>
    </row>
    <row r="36" spans="1:2" x14ac:dyDescent="0.35">
      <c r="A36" s="2">
        <v>1983</v>
      </c>
      <c r="B36" s="3">
        <v>441718.51310733217</v>
      </c>
    </row>
    <row r="37" spans="1:2" x14ac:dyDescent="0.35">
      <c r="A37" s="2">
        <v>1984</v>
      </c>
      <c r="B37" s="3">
        <v>459637.02432913746</v>
      </c>
    </row>
    <row r="38" spans="1:2" x14ac:dyDescent="0.35">
      <c r="A38" s="2">
        <v>1985</v>
      </c>
      <c r="B38" s="3">
        <v>486465.82952744124</v>
      </c>
    </row>
    <row r="39" spans="1:2" x14ac:dyDescent="0.35">
      <c r="A39" s="2">
        <v>1986</v>
      </c>
      <c r="B39" s="3">
        <v>531398.98497776384</v>
      </c>
    </row>
    <row r="40" spans="1:2" x14ac:dyDescent="0.35">
      <c r="A40" s="2">
        <v>1987</v>
      </c>
      <c r="B40" s="3">
        <v>824865.34028266033</v>
      </c>
    </row>
    <row r="41" spans="1:2" x14ac:dyDescent="0.35">
      <c r="A41" s="2">
        <v>1988</v>
      </c>
      <c r="B41" s="3">
        <v>884368.27125982638</v>
      </c>
    </row>
    <row r="42" spans="1:2" x14ac:dyDescent="0.35">
      <c r="A42" s="2">
        <v>1989</v>
      </c>
      <c r="B42" s="3">
        <v>876780.34435152332</v>
      </c>
    </row>
    <row r="43" spans="1:2" x14ac:dyDescent="0.35">
      <c r="A43" s="2">
        <v>1990</v>
      </c>
      <c r="B43" s="3">
        <v>933972.44338757347</v>
      </c>
    </row>
    <row r="44" spans="1:2" x14ac:dyDescent="0.35">
      <c r="A44" s="2">
        <v>1991</v>
      </c>
      <c r="B44" s="3">
        <v>697594.85907092341</v>
      </c>
    </row>
    <row r="45" spans="1:2" x14ac:dyDescent="0.35">
      <c r="A45" s="2">
        <v>1992</v>
      </c>
      <c r="B45" s="3">
        <v>728750.10412170656</v>
      </c>
    </row>
    <row r="46" spans="1:2" x14ac:dyDescent="0.35">
      <c r="A46" s="2">
        <v>1993</v>
      </c>
      <c r="B46" s="3">
        <v>697411.47483140649</v>
      </c>
    </row>
    <row r="47" spans="1:2" x14ac:dyDescent="0.35">
      <c r="A47" s="2">
        <v>1994</v>
      </c>
      <c r="B47" s="3">
        <v>707393.38962431974</v>
      </c>
    </row>
    <row r="48" spans="1:2" x14ac:dyDescent="0.35">
      <c r="A48" s="2">
        <v>1995</v>
      </c>
      <c r="B48" s="3">
        <v>725822.55890306376</v>
      </c>
    </row>
    <row r="49" spans="1:2" x14ac:dyDescent="0.35">
      <c r="A49" s="2">
        <v>1996</v>
      </c>
      <c r="B49" s="3">
        <v>723938.25157651934</v>
      </c>
    </row>
    <row r="50" spans="1:2" x14ac:dyDescent="0.35">
      <c r="A50" s="2">
        <v>1997</v>
      </c>
      <c r="B50" s="3">
        <v>724253.84710281028</v>
      </c>
    </row>
    <row r="51" spans="1:2" x14ac:dyDescent="0.35">
      <c r="A51" s="2">
        <v>1998</v>
      </c>
      <c r="B51" s="3">
        <v>706430.49654351932</v>
      </c>
    </row>
    <row r="52" spans="1:2" x14ac:dyDescent="0.35">
      <c r="A52" s="2">
        <v>1999</v>
      </c>
      <c r="B52" s="3">
        <v>720023.17151994305</v>
      </c>
    </row>
    <row r="53" spans="1:2" x14ac:dyDescent="0.35">
      <c r="A53" s="2">
        <v>2000</v>
      </c>
      <c r="B53" s="3">
        <v>742254.8902902496</v>
      </c>
    </row>
    <row r="54" spans="1:2" x14ac:dyDescent="0.35">
      <c r="A54" s="2">
        <v>2001</v>
      </c>
      <c r="B54" s="3">
        <v>754670.67750829167</v>
      </c>
    </row>
    <row r="55" spans="1:2" x14ac:dyDescent="0.35">
      <c r="A55" s="2">
        <v>2002</v>
      </c>
      <c r="B55" s="3">
        <v>815471.26877386053</v>
      </c>
    </row>
    <row r="56" spans="1:2" x14ac:dyDescent="0.35">
      <c r="A56" s="2">
        <v>2003</v>
      </c>
      <c r="B56" s="3">
        <v>952170.55695091712</v>
      </c>
    </row>
    <row r="57" spans="1:2" x14ac:dyDescent="0.35">
      <c r="A57" s="2">
        <v>2004</v>
      </c>
      <c r="B57" s="3">
        <v>1075386.7156003879</v>
      </c>
    </row>
    <row r="58" spans="1:2" x14ac:dyDescent="0.35">
      <c r="A58" s="2">
        <v>2005</v>
      </c>
      <c r="B58" s="3">
        <v>1164421.8179805826</v>
      </c>
    </row>
    <row r="59" spans="1:2" x14ac:dyDescent="0.35">
      <c r="A59" s="2">
        <v>2006</v>
      </c>
      <c r="B59" s="3">
        <v>1205570.9846294546</v>
      </c>
    </row>
    <row r="60" spans="1:2" x14ac:dyDescent="0.35">
      <c r="A60" s="2">
        <v>2007</v>
      </c>
      <c r="B60" s="3">
        <v>1336880.8310995293</v>
      </c>
    </row>
    <row r="61" spans="1:2" x14ac:dyDescent="0.35">
      <c r="A61" s="2">
        <v>2008</v>
      </c>
      <c r="B61" s="3">
        <v>1509370.6295452036</v>
      </c>
    </row>
    <row r="62" spans="1:2" x14ac:dyDescent="0.35">
      <c r="A62" s="2">
        <v>2009</v>
      </c>
      <c r="B62" s="3">
        <v>1564412.9942922036</v>
      </c>
    </row>
    <row r="63" spans="1:2" x14ac:dyDescent="0.35">
      <c r="A63" s="2">
        <v>2010</v>
      </c>
      <c r="B63" s="3">
        <v>1648817.4234497873</v>
      </c>
    </row>
    <row r="64" spans="1:2" x14ac:dyDescent="0.35">
      <c r="A64" s="2">
        <v>2011</v>
      </c>
      <c r="B64" s="3">
        <v>1750030.6666341408</v>
      </c>
    </row>
    <row r="65" spans="1:2" x14ac:dyDescent="0.35">
      <c r="A65" s="2">
        <v>2012</v>
      </c>
      <c r="B65" s="3">
        <v>1759445.4377349</v>
      </c>
    </row>
    <row r="66" spans="1:2" x14ac:dyDescent="0.35">
      <c r="A66" s="2">
        <v>2013</v>
      </c>
      <c r="B66" s="3">
        <v>1756945.9206947207</v>
      </c>
    </row>
    <row r="67" spans="1:2" x14ac:dyDescent="0.35">
      <c r="A67" s="2">
        <v>2014</v>
      </c>
      <c r="B67" s="3">
        <v>1757307.2527580371</v>
      </c>
    </row>
    <row r="68" spans="1:2" x14ac:dyDescent="0.35">
      <c r="A68" s="2">
        <v>2015</v>
      </c>
      <c r="B68" s="3">
        <v>1652427.335337186</v>
      </c>
    </row>
    <row r="69" spans="1:2" x14ac:dyDescent="0.35">
      <c r="A69" s="2">
        <v>2016</v>
      </c>
      <c r="B69" s="3">
        <v>1646579.6307316683</v>
      </c>
    </row>
    <row r="70" spans="1:2" x14ac:dyDescent="0.35">
      <c r="A70" s="2">
        <v>2017</v>
      </c>
      <c r="B70" s="3">
        <v>1715398.5065530417</v>
      </c>
    </row>
    <row r="71" spans="1:2" x14ac:dyDescent="0.35">
      <c r="A71" s="2">
        <v>2018</v>
      </c>
      <c r="B71" s="3">
        <v>1804366.3964994394</v>
      </c>
    </row>
    <row r="72" spans="1:2" x14ac:dyDescent="0.35">
      <c r="A72" s="2">
        <v>2019</v>
      </c>
      <c r="B72" s="3">
        <v>1862046.8404228932</v>
      </c>
    </row>
    <row r="73" spans="1:2" x14ac:dyDescent="0.35">
      <c r="A73" s="2">
        <v>2020</v>
      </c>
      <c r="B73" s="3">
        <v>1939926.2299480932</v>
      </c>
    </row>
    <row r="74" spans="1:2" x14ac:dyDescent="0.35">
      <c r="A74" s="2">
        <v>2021</v>
      </c>
      <c r="B74" s="3">
        <v>2076553.8442300421</v>
      </c>
    </row>
    <row r="75" spans="1:2" x14ac:dyDescent="0.35">
      <c r="A75" s="2">
        <v>2022</v>
      </c>
      <c r="B75" s="3">
        <v>2210347.7684784844</v>
      </c>
    </row>
    <row r="76" spans="1:2" x14ac:dyDescent="0.35">
      <c r="A76" s="2">
        <v>2023</v>
      </c>
      <c r="B76" s="3">
        <v>2391618.0978054586</v>
      </c>
    </row>
    <row r="77" spans="1:2" x14ac:dyDescent="0.35">
      <c r="A77" s="2">
        <v>2024</v>
      </c>
      <c r="B77" s="3">
        <v>2668199.1281516086</v>
      </c>
    </row>
    <row r="78" spans="1:2" x14ac:dyDescent="0.35">
      <c r="A78" s="2">
        <v>2025</v>
      </c>
      <c r="B78" s="3">
        <v>2857214.8750026976</v>
      </c>
    </row>
    <row r="79" spans="1:2" x14ac:dyDescent="0.35">
      <c r="A79" s="2" t="s">
        <v>178</v>
      </c>
      <c r="B79" s="3">
        <v>59419249.085778728</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10AB13-7689-4E8C-8C6B-792675B0BA0D}">
  <dimension ref="A1:B9"/>
  <sheetViews>
    <sheetView topLeftCell="B1" workbookViewId="0">
      <selection activeCell="D2" sqref="D2"/>
    </sheetView>
  </sheetViews>
  <sheetFormatPr defaultRowHeight="14.5" x14ac:dyDescent="0.35"/>
  <cols>
    <col min="1" max="1" width="13" bestFit="1" customWidth="1"/>
    <col min="2" max="2" width="24.453125" bestFit="1" customWidth="1"/>
  </cols>
  <sheetData>
    <row r="1" spans="1:2" x14ac:dyDescent="0.35">
      <c r="A1" s="1" t="s">
        <v>177</v>
      </c>
      <c r="B1" t="s">
        <v>179</v>
      </c>
    </row>
    <row r="2" spans="1:2" x14ac:dyDescent="0.35">
      <c r="A2" s="2" t="s">
        <v>183</v>
      </c>
      <c r="B2" s="3">
        <v>25762854.72317934</v>
      </c>
    </row>
    <row r="3" spans="1:2" x14ac:dyDescent="0.35">
      <c r="A3" s="2" t="s">
        <v>187</v>
      </c>
      <c r="B3" s="3">
        <v>15310279.19714503</v>
      </c>
    </row>
    <row r="4" spans="1:2" x14ac:dyDescent="0.35">
      <c r="A4" s="2" t="s">
        <v>186</v>
      </c>
      <c r="B4" s="3">
        <v>13415086.560725683</v>
      </c>
    </row>
    <row r="5" spans="1:2" x14ac:dyDescent="0.35">
      <c r="A5" s="2" t="s">
        <v>184</v>
      </c>
      <c r="B5" s="3">
        <v>1618722.6400420661</v>
      </c>
    </row>
    <row r="6" spans="1:2" x14ac:dyDescent="0.35">
      <c r="A6" s="2" t="s">
        <v>182</v>
      </c>
      <c r="B6" s="3">
        <v>1442669.472869009</v>
      </c>
    </row>
    <row r="7" spans="1:2" x14ac:dyDescent="0.35">
      <c r="A7" s="2" t="s">
        <v>181</v>
      </c>
      <c r="B7" s="3">
        <v>1059582.2636495773</v>
      </c>
    </row>
    <row r="8" spans="1:2" x14ac:dyDescent="0.35">
      <c r="A8" s="2" t="s">
        <v>185</v>
      </c>
      <c r="B8" s="3">
        <v>810054.22816809767</v>
      </c>
    </row>
    <row r="9" spans="1:2" x14ac:dyDescent="0.35">
      <c r="A9" s="2" t="s">
        <v>178</v>
      </c>
      <c r="B9" s="3">
        <v>59419249.085778728</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C8D104-BDE3-4ACE-8D7E-BE8A2B35976C}">
  <dimension ref="A2:F81"/>
  <sheetViews>
    <sheetView workbookViewId="0">
      <selection activeCell="BI3" sqref="BI3:BJ81"/>
    </sheetView>
  </sheetViews>
  <sheetFormatPr defaultRowHeight="14.5" x14ac:dyDescent="0.35"/>
  <cols>
    <col min="1" max="1" width="12.36328125" bestFit="1" customWidth="1"/>
    <col min="2" max="2" width="24.453125" bestFit="1" customWidth="1"/>
    <col min="3" max="3" width="20.26953125" bestFit="1" customWidth="1"/>
    <col min="6" max="6" width="13.36328125" customWidth="1"/>
  </cols>
  <sheetData>
    <row r="2" spans="1:6" x14ac:dyDescent="0.35">
      <c r="E2" t="s">
        <v>1</v>
      </c>
      <c r="F2" t="s">
        <v>194</v>
      </c>
    </row>
    <row r="3" spans="1:6" x14ac:dyDescent="0.35">
      <c r="A3" s="1" t="s">
        <v>1</v>
      </c>
      <c r="B3" t="s">
        <v>179</v>
      </c>
      <c r="C3" t="s">
        <v>193</v>
      </c>
      <c r="E3" s="2">
        <v>1949</v>
      </c>
      <c r="F3" s="33"/>
    </row>
    <row r="4" spans="1:6" x14ac:dyDescent="0.35">
      <c r="A4" s="2">
        <v>1949</v>
      </c>
      <c r="B4" s="3">
        <v>17086.075208099952</v>
      </c>
      <c r="C4" s="33"/>
      <c r="E4" s="2">
        <v>1950</v>
      </c>
      <c r="F4" s="33">
        <v>0.24532614389414048</v>
      </c>
    </row>
    <row r="5" spans="1:6" x14ac:dyDescent="0.35">
      <c r="A5" s="2">
        <v>1950</v>
      </c>
      <c r="B5" s="3">
        <v>21277.736153188387</v>
      </c>
      <c r="C5" s="33">
        <v>0.24532614389414048</v>
      </c>
      <c r="E5" s="2">
        <v>1951</v>
      </c>
      <c r="F5" s="33">
        <v>1.1069253194426987</v>
      </c>
    </row>
    <row r="6" spans="1:6" x14ac:dyDescent="0.35">
      <c r="A6" s="2">
        <v>1951</v>
      </c>
      <c r="B6" s="3">
        <v>44830.6010415739</v>
      </c>
      <c r="C6" s="33">
        <v>1.1069253194426987</v>
      </c>
      <c r="E6" s="2">
        <v>1952</v>
      </c>
      <c r="F6" s="33">
        <v>0.4389939389149895</v>
      </c>
    </row>
    <row r="7" spans="1:6" x14ac:dyDescent="0.35">
      <c r="A7" s="2">
        <v>1952</v>
      </c>
      <c r="B7" s="3">
        <v>64510.963176740857</v>
      </c>
      <c r="C7" s="33">
        <v>0.4389939389149895</v>
      </c>
      <c r="E7" s="2">
        <v>1953</v>
      </c>
      <c r="F7" s="33">
        <v>8.4184667327466808E-2</v>
      </c>
    </row>
    <row r="8" spans="1:6" x14ac:dyDescent="0.35">
      <c r="A8" s="2">
        <v>1953</v>
      </c>
      <c r="B8" s="3">
        <v>69941.797150749248</v>
      </c>
      <c r="C8" s="33">
        <v>8.4184667327466808E-2</v>
      </c>
      <c r="E8" s="2">
        <v>1954</v>
      </c>
      <c r="F8" s="33">
        <v>-0.10615068119230006</v>
      </c>
    </row>
    <row r="9" spans="1:6" x14ac:dyDescent="0.35">
      <c r="A9" s="2">
        <v>1954</v>
      </c>
      <c r="B9" s="3">
        <v>62517.427739383544</v>
      </c>
      <c r="C9" s="33">
        <v>-0.10615068119230006</v>
      </c>
      <c r="E9" s="2">
        <v>1955</v>
      </c>
      <c r="F9" s="33">
        <v>-2.9964863367236933E-2</v>
      </c>
    </row>
    <row r="10" spans="1:6" x14ac:dyDescent="0.35">
      <c r="A10" s="2">
        <v>1955</v>
      </c>
      <c r="B10" s="3">
        <v>60644.101559101808</v>
      </c>
      <c r="C10" s="33">
        <v>-2.9964863367236933E-2</v>
      </c>
      <c r="E10" s="2">
        <v>1956</v>
      </c>
      <c r="F10" s="33">
        <v>5.3651666036550305E-2</v>
      </c>
    </row>
    <row r="11" spans="1:6" x14ac:dyDescent="0.35">
      <c r="A11" s="2">
        <v>1956</v>
      </c>
      <c r="B11" s="3">
        <v>63897.758643037378</v>
      </c>
      <c r="C11" s="33">
        <v>5.3651666036550305E-2</v>
      </c>
      <c r="E11" s="2">
        <v>1957</v>
      </c>
      <c r="F11" s="33">
        <v>7.9657351684276595E-2</v>
      </c>
    </row>
    <row r="12" spans="1:6" x14ac:dyDescent="0.35">
      <c r="A12" s="2">
        <v>1957</v>
      </c>
      <c r="B12" s="3">
        <v>68987.68487510283</v>
      </c>
      <c r="C12" s="33">
        <v>7.9657351684276595E-2</v>
      </c>
      <c r="E12" s="2">
        <v>1958</v>
      </c>
      <c r="F12" s="33">
        <v>1.1252429666350681E-2</v>
      </c>
    </row>
    <row r="13" spans="1:6" x14ac:dyDescent="0.35">
      <c r="A13" s="2">
        <v>1958</v>
      </c>
      <c r="B13" s="3">
        <v>69763.963947004289</v>
      </c>
      <c r="C13" s="33">
        <v>1.1252429666350681E-2</v>
      </c>
      <c r="E13" s="2">
        <v>1959</v>
      </c>
      <c r="F13" s="33">
        <v>3.1762346614819102E-2</v>
      </c>
    </row>
    <row r="14" spans="1:6" x14ac:dyDescent="0.35">
      <c r="A14" s="2">
        <v>1959</v>
      </c>
      <c r="B14" s="3">
        <v>71979.831151112783</v>
      </c>
      <c r="C14" s="33">
        <v>3.1762346614819102E-2</v>
      </c>
      <c r="E14" s="2">
        <v>1960</v>
      </c>
      <c r="F14" s="33">
        <v>1.4253348185531423E-2</v>
      </c>
    </row>
    <row r="15" spans="1:6" x14ac:dyDescent="0.35">
      <c r="A15" s="2">
        <v>1960</v>
      </c>
      <c r="B15" s="3">
        <v>73005.784746845355</v>
      </c>
      <c r="C15" s="33">
        <v>1.4253348185531423E-2</v>
      </c>
      <c r="E15" s="2">
        <v>1961</v>
      </c>
      <c r="F15" s="33">
        <v>5.3478159126230475E-2</v>
      </c>
    </row>
    <row r="16" spans="1:6" x14ac:dyDescent="0.35">
      <c r="A16" s="2">
        <v>1961</v>
      </c>
      <c r="B16" s="3">
        <v>76909.99972067248</v>
      </c>
      <c r="C16" s="33">
        <v>5.3478159126230475E-2</v>
      </c>
      <c r="E16" s="2">
        <v>1962</v>
      </c>
      <c r="F16" s="33">
        <v>0.11377650787197169</v>
      </c>
    </row>
    <row r="17" spans="1:6" x14ac:dyDescent="0.35">
      <c r="A17" s="2">
        <v>1962</v>
      </c>
      <c r="B17" s="3">
        <v>85660.550909324913</v>
      </c>
      <c r="C17" s="33">
        <v>0.11377650787197169</v>
      </c>
      <c r="E17" s="2">
        <v>1963</v>
      </c>
      <c r="F17" s="33">
        <v>3.6094784479101749E-2</v>
      </c>
    </row>
    <row r="18" spans="1:6" x14ac:dyDescent="0.35">
      <c r="A18" s="2">
        <v>1963</v>
      </c>
      <c r="B18" s="3">
        <v>88752.450032758119</v>
      </c>
      <c r="C18" s="33">
        <v>3.6094784479101749E-2</v>
      </c>
      <c r="E18" s="2">
        <v>1964</v>
      </c>
      <c r="F18" s="33">
        <v>1.2480252111881964E-2</v>
      </c>
    </row>
    <row r="19" spans="1:6" x14ac:dyDescent="0.35">
      <c r="A19" s="2">
        <v>1964</v>
      </c>
      <c r="B19" s="3">
        <v>89860.102984714147</v>
      </c>
      <c r="C19" s="33">
        <v>1.2480252111881964E-2</v>
      </c>
      <c r="E19" s="2">
        <v>1965</v>
      </c>
      <c r="F19" s="33">
        <v>4.231409131125529E-2</v>
      </c>
    </row>
    <row r="20" spans="1:6" x14ac:dyDescent="0.35">
      <c r="A20" s="2">
        <v>1965</v>
      </c>
      <c r="B20" s="3">
        <v>93662.451587648146</v>
      </c>
      <c r="C20" s="33">
        <v>4.231409131125529E-2</v>
      </c>
      <c r="E20" s="2">
        <v>1966</v>
      </c>
      <c r="F20" s="33">
        <v>0.15039453464323652</v>
      </c>
    </row>
    <row r="21" spans="1:6" x14ac:dyDescent="0.35">
      <c r="A21" s="2">
        <v>1966</v>
      </c>
      <c r="B21" s="3">
        <v>107748.77240771716</v>
      </c>
      <c r="C21" s="33">
        <v>0.15039453464323652</v>
      </c>
      <c r="E21" s="2">
        <v>1967</v>
      </c>
      <c r="F21" s="33">
        <v>0.13647005675096546</v>
      </c>
    </row>
    <row r="22" spans="1:6" x14ac:dyDescent="0.35">
      <c r="A22" s="2">
        <v>1967</v>
      </c>
      <c r="B22" s="3">
        <v>122453.25349304518</v>
      </c>
      <c r="C22" s="33">
        <v>0.13647005675096546</v>
      </c>
      <c r="E22" s="2">
        <v>1968</v>
      </c>
      <c r="F22" s="33">
        <v>6.4319696611869759E-2</v>
      </c>
    </row>
    <row r="23" spans="1:6" x14ac:dyDescent="0.35">
      <c r="A23" s="2">
        <v>1968</v>
      </c>
      <c r="B23" s="3">
        <v>130329.40960685423</v>
      </c>
      <c r="C23" s="33">
        <v>6.4319696611869759E-2</v>
      </c>
      <c r="E23" s="2">
        <v>1969</v>
      </c>
      <c r="F23" s="33">
        <v>3.3282570957145978E-2</v>
      </c>
    </row>
    <row r="24" spans="1:6" x14ac:dyDescent="0.35">
      <c r="A24" s="2">
        <v>1969</v>
      </c>
      <c r="B24" s="3">
        <v>134667.1074298973</v>
      </c>
      <c r="C24" s="33">
        <v>3.3282570957145978E-2</v>
      </c>
      <c r="E24" s="2">
        <v>1970</v>
      </c>
      <c r="F24" s="33">
        <v>2.5320216404279262E-2</v>
      </c>
    </row>
    <row r="25" spans="1:6" x14ac:dyDescent="0.35">
      <c r="A25" s="2">
        <v>1970</v>
      </c>
      <c r="B25" s="3">
        <v>138076.90773256062</v>
      </c>
      <c r="C25" s="33">
        <v>2.5320216404279262E-2</v>
      </c>
      <c r="E25" s="2">
        <v>1971</v>
      </c>
      <c r="F25" s="33">
        <v>9.1074291341341485E-3</v>
      </c>
    </row>
    <row r="26" spans="1:6" x14ac:dyDescent="0.35">
      <c r="A26" s="2">
        <v>1971</v>
      </c>
      <c r="B26" s="3">
        <v>139334.43338479529</v>
      </c>
      <c r="C26" s="33">
        <v>9.1074291341341485E-3</v>
      </c>
      <c r="E26" s="2">
        <v>1972</v>
      </c>
      <c r="F26" s="33">
        <v>8.6515937426065476E-2</v>
      </c>
    </row>
    <row r="27" spans="1:6" x14ac:dyDescent="0.35">
      <c r="A27" s="2">
        <v>1972</v>
      </c>
      <c r="B27" s="3">
        <v>151389.08250481053</v>
      </c>
      <c r="C27" s="33">
        <v>8.6515937426065476E-2</v>
      </c>
      <c r="E27" s="2">
        <v>1973</v>
      </c>
      <c r="F27" s="33">
        <v>0.10018611538669828</v>
      </c>
    </row>
    <row r="28" spans="1:6" x14ac:dyDescent="0.35">
      <c r="A28" s="2">
        <v>1973</v>
      </c>
      <c r="B28" s="3">
        <v>166556.16659292387</v>
      </c>
      <c r="C28" s="33">
        <v>0.10018611538669828</v>
      </c>
      <c r="E28" s="2">
        <v>1974</v>
      </c>
      <c r="F28" s="33">
        <v>0.15259773853308964</v>
      </c>
    </row>
    <row r="29" spans="1:6" x14ac:dyDescent="0.35">
      <c r="A29" s="2">
        <v>1974</v>
      </c>
      <c r="B29" s="3">
        <v>191972.26095374458</v>
      </c>
      <c r="C29" s="33">
        <v>0.15259773853308964</v>
      </c>
      <c r="E29" s="2">
        <v>1975</v>
      </c>
      <c r="F29" s="33">
        <v>0.10974607902054505</v>
      </c>
    </row>
    <row r="30" spans="1:6" x14ac:dyDescent="0.35">
      <c r="A30" s="2">
        <v>1975</v>
      </c>
      <c r="B30" s="3">
        <v>213040.46387412693</v>
      </c>
      <c r="C30" s="33">
        <v>0.10974607902054505</v>
      </c>
      <c r="E30" s="2">
        <v>1976</v>
      </c>
      <c r="F30" s="33">
        <v>5.3218113245541113E-2</v>
      </c>
    </row>
    <row r="31" spans="1:6" x14ac:dyDescent="0.35">
      <c r="A31" s="2">
        <v>1976</v>
      </c>
      <c r="B31" s="3">
        <v>224378.07540646283</v>
      </c>
      <c r="C31" s="33">
        <v>5.3218113245541113E-2</v>
      </c>
      <c r="E31" s="2">
        <v>1977</v>
      </c>
      <c r="F31" s="33">
        <v>0.16786300700446102</v>
      </c>
    </row>
    <row r="32" spans="1:6" x14ac:dyDescent="0.35">
      <c r="A32" s="2">
        <v>1977</v>
      </c>
      <c r="B32" s="3">
        <v>262042.85385006538</v>
      </c>
      <c r="C32" s="33">
        <v>0.16786300700446102</v>
      </c>
      <c r="E32" s="2">
        <v>1978</v>
      </c>
      <c r="F32" s="33">
        <v>0.10149968398523888</v>
      </c>
    </row>
    <row r="33" spans="1:6" x14ac:dyDescent="0.35">
      <c r="A33" s="2">
        <v>1978</v>
      </c>
      <c r="B33" s="3">
        <v>288640.12070643716</v>
      </c>
      <c r="C33" s="33">
        <v>0.10149968398523888</v>
      </c>
      <c r="E33" s="2">
        <v>1979</v>
      </c>
      <c r="F33" s="33">
        <v>0.10512022335479282</v>
      </c>
    </row>
    <row r="34" spans="1:6" x14ac:dyDescent="0.35">
      <c r="A34" s="2">
        <v>1979</v>
      </c>
      <c r="B34" s="3">
        <v>318982.03466425219</v>
      </c>
      <c r="C34" s="33">
        <v>0.10512022335479282</v>
      </c>
      <c r="E34" s="2">
        <v>1980</v>
      </c>
      <c r="F34" s="33">
        <v>0.14737691161433344</v>
      </c>
    </row>
    <row r="35" spans="1:6" x14ac:dyDescent="0.35">
      <c r="A35" s="2">
        <v>1980</v>
      </c>
      <c r="B35" s="3">
        <v>365992.62179352593</v>
      </c>
      <c r="C35" s="33">
        <v>0.14737691161433344</v>
      </c>
      <c r="E35" s="2">
        <v>1981</v>
      </c>
      <c r="F35" s="33">
        <v>0.10320664398015909</v>
      </c>
    </row>
    <row r="36" spans="1:6" x14ac:dyDescent="0.35">
      <c r="A36" s="2">
        <v>1981</v>
      </c>
      <c r="B36" s="3">
        <v>403765.49201033538</v>
      </c>
      <c r="C36" s="33">
        <v>0.10320664398015909</v>
      </c>
      <c r="E36" s="2">
        <v>1982</v>
      </c>
      <c r="F36" s="33">
        <v>0.10937940954195853</v>
      </c>
    </row>
    <row r="37" spans="1:6" x14ac:dyDescent="0.35">
      <c r="A37" s="2">
        <v>1982</v>
      </c>
      <c r="B37" s="3">
        <v>447929.12311984424</v>
      </c>
      <c r="C37" s="33">
        <v>0.10937940954195853</v>
      </c>
      <c r="E37" s="2">
        <v>1983</v>
      </c>
      <c r="F37" s="33">
        <v>-1.3865162348129822E-2</v>
      </c>
    </row>
    <row r="38" spans="1:6" x14ac:dyDescent="0.35">
      <c r="A38" s="2">
        <v>1983</v>
      </c>
      <c r="B38" s="3">
        <v>441718.51310733217</v>
      </c>
      <c r="C38" s="33">
        <v>-1.3865162348129822E-2</v>
      </c>
      <c r="E38" s="2">
        <v>1984</v>
      </c>
      <c r="F38" s="33">
        <v>4.056545218300895E-2</v>
      </c>
    </row>
    <row r="39" spans="1:6" x14ac:dyDescent="0.35">
      <c r="A39" s="2">
        <v>1984</v>
      </c>
      <c r="B39" s="3">
        <v>459637.02432913746</v>
      </c>
      <c r="C39" s="33">
        <v>4.056545218300895E-2</v>
      </c>
      <c r="E39" s="2">
        <v>1985</v>
      </c>
      <c r="F39" s="33">
        <v>5.8369547660921603E-2</v>
      </c>
    </row>
    <row r="40" spans="1:6" x14ac:dyDescent="0.35">
      <c r="A40" s="2">
        <v>1985</v>
      </c>
      <c r="B40" s="3">
        <v>486465.82952744124</v>
      </c>
      <c r="C40" s="33">
        <v>5.8369547660921603E-2</v>
      </c>
      <c r="E40" s="2">
        <v>1986</v>
      </c>
      <c r="F40" s="33">
        <v>9.2366519337999983E-2</v>
      </c>
    </row>
    <row r="41" spans="1:6" x14ac:dyDescent="0.35">
      <c r="A41" s="2">
        <v>1986</v>
      </c>
      <c r="B41" s="3">
        <v>531398.98497776384</v>
      </c>
      <c r="C41" s="33">
        <v>9.2366519337999983E-2</v>
      </c>
      <c r="E41" s="2">
        <v>1987</v>
      </c>
      <c r="F41" s="33">
        <v>0.55225238211016991</v>
      </c>
    </row>
    <row r="42" spans="1:6" x14ac:dyDescent="0.35">
      <c r="A42" s="2">
        <v>1987</v>
      </c>
      <c r="B42" s="3">
        <v>824865.34028266033</v>
      </c>
      <c r="C42" s="33">
        <v>0.55225238211016991</v>
      </c>
      <c r="E42" s="2">
        <v>1988</v>
      </c>
      <c r="F42" s="33">
        <v>7.2136539228058613E-2</v>
      </c>
    </row>
    <row r="43" spans="1:6" x14ac:dyDescent="0.35">
      <c r="A43" s="2">
        <v>1988</v>
      </c>
      <c r="B43" s="3">
        <v>884368.27125982638</v>
      </c>
      <c r="C43" s="33">
        <v>7.2136539228058613E-2</v>
      </c>
      <c r="E43" s="2">
        <v>1989</v>
      </c>
      <c r="F43" s="33">
        <v>-8.5800533045963696E-3</v>
      </c>
    </row>
    <row r="44" spans="1:6" x14ac:dyDescent="0.35">
      <c r="A44" s="2">
        <v>1989</v>
      </c>
      <c r="B44" s="3">
        <v>876780.34435152332</v>
      </c>
      <c r="C44" s="33">
        <v>-8.5800533045963696E-3</v>
      </c>
      <c r="E44" s="2">
        <v>1990</v>
      </c>
      <c r="F44" s="33">
        <v>6.5229677426619406E-2</v>
      </c>
    </row>
    <row r="45" spans="1:6" x14ac:dyDescent="0.35">
      <c r="A45" s="2">
        <v>1990</v>
      </c>
      <c r="B45" s="3">
        <v>933972.44338757347</v>
      </c>
      <c r="C45" s="33">
        <v>6.5229677426619406E-2</v>
      </c>
      <c r="E45" s="2">
        <v>1991</v>
      </c>
      <c r="F45" s="33">
        <v>-0.25308839247900561</v>
      </c>
    </row>
    <row r="46" spans="1:6" x14ac:dyDescent="0.35">
      <c r="A46" s="2">
        <v>1991</v>
      </c>
      <c r="B46" s="3">
        <v>697594.85907092341</v>
      </c>
      <c r="C46" s="33">
        <v>-0.25308839247900561</v>
      </c>
      <c r="E46" s="2">
        <v>1992</v>
      </c>
      <c r="F46" s="33">
        <v>4.4660944165036694E-2</v>
      </c>
    </row>
    <row r="47" spans="1:6" x14ac:dyDescent="0.35">
      <c r="A47" s="2">
        <v>1992</v>
      </c>
      <c r="B47" s="3">
        <v>728750.10412170656</v>
      </c>
      <c r="C47" s="33">
        <v>4.4660944165036694E-2</v>
      </c>
      <c r="E47" s="2">
        <v>1993</v>
      </c>
      <c r="F47" s="33">
        <v>-4.3003258748167933E-2</v>
      </c>
    </row>
    <row r="48" spans="1:6" x14ac:dyDescent="0.35">
      <c r="A48" s="2">
        <v>1993</v>
      </c>
      <c r="B48" s="3">
        <v>697411.47483140649</v>
      </c>
      <c r="C48" s="33">
        <v>-4.3003258748167933E-2</v>
      </c>
      <c r="E48" s="2">
        <v>1994</v>
      </c>
      <c r="F48" s="33">
        <v>1.4312805500262656E-2</v>
      </c>
    </row>
    <row r="49" spans="1:6" x14ac:dyDescent="0.35">
      <c r="A49" s="2">
        <v>1994</v>
      </c>
      <c r="B49" s="3">
        <v>707393.38962431974</v>
      </c>
      <c r="C49" s="33">
        <v>1.4312805500262656E-2</v>
      </c>
      <c r="E49" s="2">
        <v>1995</v>
      </c>
      <c r="F49" s="33">
        <v>2.6052221506524583E-2</v>
      </c>
    </row>
    <row r="50" spans="1:6" x14ac:dyDescent="0.35">
      <c r="A50" s="2">
        <v>1995</v>
      </c>
      <c r="B50" s="3">
        <v>725822.55890306376</v>
      </c>
      <c r="C50" s="33">
        <v>2.6052221506524583E-2</v>
      </c>
      <c r="E50" s="2">
        <v>1996</v>
      </c>
      <c r="F50" s="33">
        <v>-2.5960991476927649E-3</v>
      </c>
    </row>
    <row r="51" spans="1:6" x14ac:dyDescent="0.35">
      <c r="A51" s="2">
        <v>1996</v>
      </c>
      <c r="B51" s="3">
        <v>723938.25157651934</v>
      </c>
      <c r="C51" s="33">
        <v>-2.5960991476927649E-3</v>
      </c>
      <c r="E51" s="2">
        <v>1997</v>
      </c>
      <c r="F51" s="33">
        <v>4.3594260367326788E-4</v>
      </c>
    </row>
    <row r="52" spans="1:6" x14ac:dyDescent="0.35">
      <c r="A52" s="2">
        <v>1997</v>
      </c>
      <c r="B52" s="3">
        <v>724253.84710281028</v>
      </c>
      <c r="C52" s="33">
        <v>4.3594260367326788E-4</v>
      </c>
      <c r="E52" s="2">
        <v>1998</v>
      </c>
      <c r="F52" s="33">
        <v>-2.4609259074823912E-2</v>
      </c>
    </row>
    <row r="53" spans="1:6" x14ac:dyDescent="0.35">
      <c r="A53" s="2">
        <v>1998</v>
      </c>
      <c r="B53" s="3">
        <v>706430.49654351932</v>
      </c>
      <c r="C53" s="33">
        <v>-2.4609259074823912E-2</v>
      </c>
      <c r="E53" s="2">
        <v>1999</v>
      </c>
      <c r="F53" s="33">
        <v>1.9241347935757415E-2</v>
      </c>
    </row>
    <row r="54" spans="1:6" x14ac:dyDescent="0.35">
      <c r="A54" s="2">
        <v>1999</v>
      </c>
      <c r="B54" s="3">
        <v>720023.17151994305</v>
      </c>
      <c r="C54" s="33">
        <v>1.9241347935757415E-2</v>
      </c>
      <c r="E54" s="2">
        <v>2000</v>
      </c>
      <c r="F54" s="33">
        <v>3.087639349630401E-2</v>
      </c>
    </row>
    <row r="55" spans="1:6" x14ac:dyDescent="0.35">
      <c r="A55" s="2">
        <v>2000</v>
      </c>
      <c r="B55" s="3">
        <v>742254.8902902496</v>
      </c>
      <c r="C55" s="33">
        <v>3.087639349630401E-2</v>
      </c>
      <c r="E55" s="2">
        <v>2001</v>
      </c>
      <c r="F55" s="33">
        <v>1.6727120805074155E-2</v>
      </c>
    </row>
    <row r="56" spans="1:6" x14ac:dyDescent="0.35">
      <c r="A56" s="2">
        <v>2001</v>
      </c>
      <c r="B56" s="3">
        <v>754670.67750829167</v>
      </c>
      <c r="C56" s="33">
        <v>1.6727120805074155E-2</v>
      </c>
      <c r="E56" s="2">
        <v>2002</v>
      </c>
      <c r="F56" s="33">
        <v>8.056572631961155E-2</v>
      </c>
    </row>
    <row r="57" spans="1:6" x14ac:dyDescent="0.35">
      <c r="A57" s="2">
        <v>2002</v>
      </c>
      <c r="B57" s="3">
        <v>815471.26877386053</v>
      </c>
      <c r="C57" s="33">
        <v>8.056572631961155E-2</v>
      </c>
      <c r="E57" s="2">
        <v>2003</v>
      </c>
      <c r="F57" s="33">
        <v>0.16763225561900802</v>
      </c>
    </row>
    <row r="58" spans="1:6" x14ac:dyDescent="0.35">
      <c r="A58" s="2">
        <v>2003</v>
      </c>
      <c r="B58" s="3">
        <v>952170.55695091712</v>
      </c>
      <c r="C58" s="33">
        <v>0.16763225561900802</v>
      </c>
      <c r="E58" s="2">
        <v>2004</v>
      </c>
      <c r="F58" s="33">
        <v>0.12940555423603839</v>
      </c>
    </row>
    <row r="59" spans="1:6" x14ac:dyDescent="0.35">
      <c r="A59" s="2">
        <v>2004</v>
      </c>
      <c r="B59" s="3">
        <v>1075386.7156003879</v>
      </c>
      <c r="C59" s="33">
        <v>0.12940555423603839</v>
      </c>
      <c r="E59" s="2">
        <v>2005</v>
      </c>
      <c r="F59" s="33">
        <v>8.2793567270808666E-2</v>
      </c>
    </row>
    <row r="60" spans="1:6" x14ac:dyDescent="0.35">
      <c r="A60" s="2">
        <v>2005</v>
      </c>
      <c r="B60" s="3">
        <v>1164421.8179805826</v>
      </c>
      <c r="C60" s="33">
        <v>8.2793567270808666E-2</v>
      </c>
      <c r="E60" s="2">
        <v>2006</v>
      </c>
      <c r="F60" s="33">
        <v>3.5338711464747007E-2</v>
      </c>
    </row>
    <row r="61" spans="1:6" x14ac:dyDescent="0.35">
      <c r="A61" s="2">
        <v>2006</v>
      </c>
      <c r="B61" s="3">
        <v>1205570.9846294546</v>
      </c>
      <c r="C61" s="33">
        <v>3.5338711464747007E-2</v>
      </c>
      <c r="E61" s="2">
        <v>2007</v>
      </c>
      <c r="F61" s="33">
        <v>0.10891921599326998</v>
      </c>
    </row>
    <row r="62" spans="1:6" x14ac:dyDescent="0.35">
      <c r="A62" s="2">
        <v>2007</v>
      </c>
      <c r="B62" s="3">
        <v>1336880.8310995293</v>
      </c>
      <c r="C62" s="33">
        <v>0.10891921599326998</v>
      </c>
      <c r="E62" s="2">
        <v>2008</v>
      </c>
      <c r="F62" s="33">
        <v>0.12902406439907485</v>
      </c>
    </row>
    <row r="63" spans="1:6" x14ac:dyDescent="0.35">
      <c r="A63" s="2">
        <v>2008</v>
      </c>
      <c r="B63" s="3">
        <v>1509370.6295452036</v>
      </c>
      <c r="C63" s="33">
        <v>0.12902406439907485</v>
      </c>
      <c r="E63" s="2">
        <v>2009</v>
      </c>
      <c r="F63" s="33">
        <v>3.6467096728644462E-2</v>
      </c>
    </row>
    <row r="64" spans="1:6" x14ac:dyDescent="0.35">
      <c r="A64" s="2">
        <v>2009</v>
      </c>
      <c r="B64" s="3">
        <v>1564412.9942922036</v>
      </c>
      <c r="C64" s="33">
        <v>3.6467096728644462E-2</v>
      </c>
      <c r="E64" s="2">
        <v>2010</v>
      </c>
      <c r="F64" s="33">
        <v>5.3952779391078461E-2</v>
      </c>
    </row>
    <row r="65" spans="1:6" x14ac:dyDescent="0.35">
      <c r="A65" s="2">
        <v>2010</v>
      </c>
      <c r="B65" s="3">
        <v>1648817.4234497873</v>
      </c>
      <c r="C65" s="33">
        <v>5.3952779391078461E-2</v>
      </c>
      <c r="E65" s="2">
        <v>2011</v>
      </c>
      <c r="F65" s="33">
        <v>6.1385355191472347E-2</v>
      </c>
    </row>
    <row r="66" spans="1:6" x14ac:dyDescent="0.35">
      <c r="A66" s="2">
        <v>2011</v>
      </c>
      <c r="B66" s="3">
        <v>1750030.6666341408</v>
      </c>
      <c r="C66" s="33">
        <v>6.1385355191472347E-2</v>
      </c>
      <c r="E66" s="2">
        <v>2012</v>
      </c>
      <c r="F66" s="33">
        <v>5.3797749263827695E-3</v>
      </c>
    </row>
    <row r="67" spans="1:6" x14ac:dyDescent="0.35">
      <c r="A67" s="2">
        <v>2012</v>
      </c>
      <c r="B67" s="3">
        <v>1759445.4377349</v>
      </c>
      <c r="C67" s="33">
        <v>5.3797749263827695E-3</v>
      </c>
      <c r="E67" s="2">
        <v>2013</v>
      </c>
      <c r="F67" s="33">
        <v>-1.420627765187881E-3</v>
      </c>
    </row>
    <row r="68" spans="1:6" x14ac:dyDescent="0.35">
      <c r="A68" s="2">
        <v>2013</v>
      </c>
      <c r="B68" s="3">
        <v>1756945.9206947207</v>
      </c>
      <c r="C68" s="33">
        <v>-1.420627765187881E-3</v>
      </c>
      <c r="E68" s="2">
        <v>2014</v>
      </c>
      <c r="F68" s="33">
        <v>2.0565918339335786E-4</v>
      </c>
    </row>
    <row r="69" spans="1:6" x14ac:dyDescent="0.35">
      <c r="A69" s="2">
        <v>2014</v>
      </c>
      <c r="B69" s="3">
        <v>1757307.2527580371</v>
      </c>
      <c r="C69" s="33">
        <v>2.0565918339335786E-4</v>
      </c>
      <c r="E69" s="2">
        <v>2015</v>
      </c>
      <c r="F69" s="33">
        <v>-5.9682174108281527E-2</v>
      </c>
    </row>
    <row r="70" spans="1:6" x14ac:dyDescent="0.35">
      <c r="A70" s="2">
        <v>2015</v>
      </c>
      <c r="B70" s="3">
        <v>1652427.335337186</v>
      </c>
      <c r="C70" s="33">
        <v>-5.9682174108281527E-2</v>
      </c>
      <c r="E70" s="2">
        <v>2016</v>
      </c>
      <c r="F70" s="33">
        <v>-3.5388573406312132E-3</v>
      </c>
    </row>
    <row r="71" spans="1:6" x14ac:dyDescent="0.35">
      <c r="A71" s="2">
        <v>2016</v>
      </c>
      <c r="B71" s="3">
        <v>1646579.6307316683</v>
      </c>
      <c r="C71" s="33">
        <v>-3.5388573406312132E-3</v>
      </c>
      <c r="E71" s="2">
        <v>2017</v>
      </c>
      <c r="F71" s="33">
        <v>4.1795048679664104E-2</v>
      </c>
    </row>
    <row r="72" spans="1:6" x14ac:dyDescent="0.35">
      <c r="A72" s="2">
        <v>2017</v>
      </c>
      <c r="B72" s="3">
        <v>1715398.5065530417</v>
      </c>
      <c r="C72" s="33">
        <v>4.1795048679664104E-2</v>
      </c>
      <c r="E72" s="2">
        <v>2018</v>
      </c>
      <c r="F72" s="33">
        <v>5.1864269210057552E-2</v>
      </c>
    </row>
    <row r="73" spans="1:6" x14ac:dyDescent="0.35">
      <c r="A73" s="2">
        <v>2018</v>
      </c>
      <c r="B73" s="3">
        <v>1804366.3964994394</v>
      </c>
      <c r="C73" s="33">
        <v>5.1864269210057552E-2</v>
      </c>
      <c r="E73" s="2">
        <v>2019</v>
      </c>
      <c r="F73" s="33">
        <v>3.1967145938517107E-2</v>
      </c>
    </row>
    <row r="74" spans="1:6" x14ac:dyDescent="0.35">
      <c r="A74" s="2">
        <v>2019</v>
      </c>
      <c r="B74" s="3">
        <v>1862046.8404228932</v>
      </c>
      <c r="C74" s="33">
        <v>3.1967145938517107E-2</v>
      </c>
      <c r="E74" s="2">
        <v>2020</v>
      </c>
      <c r="F74" s="33">
        <v>4.1824613556720548E-2</v>
      </c>
    </row>
    <row r="75" spans="1:6" x14ac:dyDescent="0.35">
      <c r="A75" s="2">
        <v>2020</v>
      </c>
      <c r="B75" s="3">
        <v>1939926.2299480932</v>
      </c>
      <c r="C75" s="33">
        <v>4.1824613556720548E-2</v>
      </c>
      <c r="E75" s="2">
        <v>2021</v>
      </c>
      <c r="F75" s="33">
        <v>7.0429283429816122E-2</v>
      </c>
    </row>
    <row r="76" spans="1:6" x14ac:dyDescent="0.35">
      <c r="A76" s="2">
        <v>2021</v>
      </c>
      <c r="B76" s="3">
        <v>2076553.8442300421</v>
      </c>
      <c r="C76" s="33">
        <v>7.0429283429816122E-2</v>
      </c>
      <c r="E76" s="2">
        <v>2022</v>
      </c>
      <c r="F76" s="33">
        <v>6.4430751275824136E-2</v>
      </c>
    </row>
    <row r="77" spans="1:6" x14ac:dyDescent="0.35">
      <c r="A77" s="2">
        <v>2022</v>
      </c>
      <c r="B77" s="3">
        <v>2210347.7684784844</v>
      </c>
      <c r="C77" s="33">
        <v>6.4430751275824136E-2</v>
      </c>
      <c r="E77" s="2">
        <v>2023</v>
      </c>
      <c r="F77" s="33">
        <v>8.2009868271432029E-2</v>
      </c>
    </row>
    <row r="78" spans="1:6" x14ac:dyDescent="0.35">
      <c r="A78" s="2">
        <v>2023</v>
      </c>
      <c r="B78" s="3">
        <v>2391618.0978054586</v>
      </c>
      <c r="C78" s="33">
        <v>8.2009868271432029E-2</v>
      </c>
      <c r="E78" s="2">
        <v>2024</v>
      </c>
      <c r="F78" s="33">
        <v>0.11564598486687316</v>
      </c>
    </row>
    <row r="79" spans="1:6" x14ac:dyDescent="0.35">
      <c r="A79" s="2">
        <v>2024</v>
      </c>
      <c r="B79" s="3">
        <v>2668199.1281516086</v>
      </c>
      <c r="C79" s="33">
        <v>0.11564598486687316</v>
      </c>
      <c r="E79" s="2">
        <v>2025</v>
      </c>
      <c r="F79" s="33">
        <v>7.0840195117681998E-2</v>
      </c>
    </row>
    <row r="80" spans="1:6" x14ac:dyDescent="0.35">
      <c r="A80" s="2">
        <v>2025</v>
      </c>
      <c r="B80" s="3">
        <v>2857214.8750026976</v>
      </c>
      <c r="C80" s="33">
        <v>7.0840195117681998E-2</v>
      </c>
    </row>
    <row r="81" spans="1:3" x14ac:dyDescent="0.35">
      <c r="A81" s="2" t="s">
        <v>178</v>
      </c>
      <c r="B81" s="3">
        <v>59419249.085778728</v>
      </c>
      <c r="C81" s="33"/>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3FAAA95-5BE0-47F8-8115-3AB74D192E9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Dim_Country</vt:lpstr>
      <vt:lpstr>Dim_Year</vt:lpstr>
      <vt:lpstr>Fact_Military_Expenditure</vt:lpstr>
      <vt:lpstr>Top 10 Military Spenders</vt:lpstr>
      <vt:lpstr>Military Expenditure Trend</vt:lpstr>
      <vt:lpstr>Regional Military Expenditure</vt:lpstr>
      <vt:lpstr>Year on Year Growth Calculation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Badri vishal Palaram</dc:creator>
  <cp:lastModifiedBy>Badri vishal Palaram</cp:lastModifiedBy>
  <dcterms:created xsi:type="dcterms:W3CDTF">2026-08-12T18:50:19Z</dcterms:created>
  <dcterms:modified xsi:type="dcterms:W3CDTF">2026-08-13T21:20:16Z</dcterms:modified>
</cp:coreProperties>
</file>